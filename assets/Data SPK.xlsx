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Monitoring SPK" sheetId="2" r:id="rId1"/>
    <sheet name="Monitoring SPK " sheetId="3" state="hidden" r:id="rId2"/>
    <sheet name="FOR PIK" sheetId="4" state="hidden" r:id="rId3"/>
    <sheet name="Salinan dari Monitoring RAB" sheetId="6" state="hidden" r:id="rId4"/>
  </sheets>
  <definedNames>
    <definedName name="_xlnm._FilterDatabase" localSheetId="0" hidden="1">'Monitoring SPK'!$A$1:$S$118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<sst xmlns="http://schemas.openxmlformats.org/spreadsheetml/2006/main" count="1181" uniqueCount="526">
  <si>
    <t>No</t>
  </si>
  <si>
    <t>Pekerjaan</t>
  </si>
  <si>
    <t>Lokasi</t>
  </si>
  <si>
    <t>SPK</t>
  </si>
  <si>
    <t>Realisasi SAP</t>
  </si>
  <si>
    <t>Tanggal PAD</t>
  </si>
  <si>
    <t>Nilai PAD</t>
  </si>
  <si>
    <t>Nilai Opname</t>
  </si>
  <si>
    <t>BAST Invoice</t>
  </si>
  <si>
    <t>Nilai Invoice</t>
  </si>
  <si>
    <t>Nomor</t>
  </si>
  <si>
    <t>TMT</t>
  </si>
  <si>
    <t>Luas Area
(Ha)</t>
  </si>
  <si>
    <t>Start</t>
  </si>
  <si>
    <t>Finish</t>
  </si>
  <si>
    <t>Nilai SPK</t>
  </si>
  <si>
    <t>Survey Pemetaan, Desain Siteplan Lokasi Bor TLJT-04</t>
  </si>
  <si>
    <t>Talang Jimar</t>
  </si>
  <si>
    <t>050/PHR724</t>
  </si>
  <si>
    <t>6/19/2025</t>
  </si>
  <si>
    <t>Invoice</t>
  </si>
  <si>
    <t>Nilai Kontrak</t>
  </si>
  <si>
    <t>Nilai SPK Realisasi</t>
  </si>
  <si>
    <t>Survey Pemetaan, Desain Siteplan Lokasi Bor KRG-PB4, KRG-PB6 dan KRG-PB7</t>
  </si>
  <si>
    <t>Karangan</t>
  </si>
  <si>
    <t>051/PHR724</t>
  </si>
  <si>
    <t>Total Nilai SPK</t>
  </si>
  <si>
    <t>Nilai SPK belum realisasi</t>
  </si>
  <si>
    <t>Survey Pemetaan, Desain Siteplan Lokasi Bor BNG-A19,B8,B7</t>
  </si>
  <si>
    <t>Benuang</t>
  </si>
  <si>
    <t>049/PHR724</t>
  </si>
  <si>
    <t>SPK Invoice</t>
  </si>
  <si>
    <t>Survey Pemetaan, Desain Lokasi Bor GNK-PD28</t>
  </si>
  <si>
    <t>Gunung Kemala</t>
  </si>
  <si>
    <t>055/PHR724</t>
  </si>
  <si>
    <t>5/21/2025</t>
  </si>
  <si>
    <t>Survey Pemetaan, Desain Siteplan Lokasi Bor TLJT-05</t>
  </si>
  <si>
    <t>054/PHR724</t>
  </si>
  <si>
    <t>Survey Pemetaan, Desain Siteplan Lokasi Bor TMB-PG3 &amp; PG5</t>
  </si>
  <si>
    <t>Tanjung Miring</t>
  </si>
  <si>
    <t>053/PHR724</t>
  </si>
  <si>
    <t>Volume Pekerjaan</t>
  </si>
  <si>
    <t>Survey Pemetaan, Desain Siteplan Lokasi Bor KRG-PB5</t>
  </si>
  <si>
    <t>056/PHR724</t>
  </si>
  <si>
    <t>SPK Terbit</t>
  </si>
  <si>
    <t>Luas Total SPK</t>
  </si>
  <si>
    <t>Survey Pemetaan, Desain Siteplan Lokasi Bor BKB-AR.007</t>
  </si>
  <si>
    <t>Benakat</t>
  </si>
  <si>
    <t>069/PHR724</t>
  </si>
  <si>
    <t>6/20/2025</t>
  </si>
  <si>
    <t>7/31/2025</t>
  </si>
  <si>
    <t>SPK Selesai (invoice)</t>
  </si>
  <si>
    <t>Survey Pemetaan, Desain Siteplan Lokasi Bor ABB-A4 REPOSISI</t>
  </si>
  <si>
    <t>ABAB</t>
  </si>
  <si>
    <t>070/PHR724</t>
  </si>
  <si>
    <t>Survey Pemetaan, Desain Siteplan Lokasi Bor GNK-PD48, PD91</t>
  </si>
  <si>
    <t>068/PHR724</t>
  </si>
  <si>
    <t>Survey Pemetaan, Desain Siteplan Lokasi Bor BKB-AR.001</t>
  </si>
  <si>
    <t>72/PHR7241</t>
  </si>
  <si>
    <t>Survey Pemetaan, Desain Siteplan Lokasi Bor GNK-PD65, 66, 68, 79, 80</t>
  </si>
  <si>
    <t>73/PHR7241</t>
  </si>
  <si>
    <t>Survey Pemetaan, Desain Siteplan Lokasi Bor BN-B21</t>
  </si>
  <si>
    <t>Bentayan</t>
  </si>
  <si>
    <t>076/PHR724</t>
  </si>
  <si>
    <t>6/30/2025</t>
  </si>
  <si>
    <t>Survey Pemetaan, Desain Siteplan Lokasi Bor BN-B30</t>
  </si>
  <si>
    <t>077/PHR724</t>
  </si>
  <si>
    <t>Survey Pemetaan, Desain Siteplan Lokasi Bor GNK-PD89</t>
  </si>
  <si>
    <t>078/PHR724</t>
  </si>
  <si>
    <t>Belum Invoice</t>
  </si>
  <si>
    <t>Survey Pemetaan, Desain Siteplan
Lokasi Bor PMN-K, Prabumulih Field</t>
  </si>
  <si>
    <t>Prabumenang</t>
  </si>
  <si>
    <t>075PHR7241
0/2025-S5</t>
  </si>
  <si>
    <t>Survey Topography Fasilitas
Produksi Flowline PMN-K, Prabumulih Field</t>
  </si>
  <si>
    <t>063/PHR724
10/2025-S0</t>
  </si>
  <si>
    <t>6/23/2025</t>
  </si>
  <si>
    <t>8/22/2025</t>
  </si>
  <si>
    <t>Survey Topography Fasilitas
Produksi Flowline LBK-INF12, Prabumulih Field</t>
  </si>
  <si>
    <t>Lembak</t>
  </si>
  <si>
    <t>064/PHR724
10/2025-S0</t>
  </si>
  <si>
    <t>Survey Topography Fasilitas
Produksi Flowline SP Karangan, Limau Field</t>
  </si>
  <si>
    <t>066/PHR724
10/2025-S0</t>
  </si>
  <si>
    <t>Survey Topography Fasilitas
Produksi Flowline SP Lembak, Prabumulih Field</t>
  </si>
  <si>
    <t>067/PHR724
10/2025-S0</t>
  </si>
  <si>
    <t>Survey Pemetaan, Desain Siteplan
Lokasi Bor TAP-NW05, Pendopo Field</t>
  </si>
  <si>
    <t>Talang Akar Pendopo</t>
  </si>
  <si>
    <t>082/PHR724
10/2025-S5</t>
  </si>
  <si>
    <t>8/14/2025</t>
  </si>
  <si>
    <t>Survey Pemetaan, Desain Siteplan
Lokasi Bor TAP-NW12, Pendopo Field</t>
  </si>
  <si>
    <t>079/PHR724
10/2025-S5</t>
  </si>
  <si>
    <t>Survey Pemetaan, Desain Siteplan Lokasi Bor BRG-U9, Prabumulih Field</t>
  </si>
  <si>
    <t>Beringin</t>
  </si>
  <si>
    <t>080/PHR724
10/2025-S5</t>
  </si>
  <si>
    <t>Survey Pemetaan, Desain Siteplan
Lokasi Bor BRG-U10, Prabumulih Field</t>
  </si>
  <si>
    <t>081/PHR724
10/2025-S5</t>
  </si>
  <si>
    <t>Survey Pemetaan, Desain Siteplan Lokasi Bor KRG-PE2, Limau Field</t>
  </si>
  <si>
    <t>086/PHR724
10/2025-S5</t>
  </si>
  <si>
    <t>8/21/2025</t>
  </si>
  <si>
    <t>Survey Pemetaan, Desain Siteplan
Lokasi Bor KRG-PN2 dan KRG- PN4, Limau Field</t>
  </si>
  <si>
    <t>089/PHR724
10/2025-S5</t>
  </si>
  <si>
    <t>Survey Pemetaan, Desain Siteplan Lokasi Bor KRG-PJ1, Limau Field</t>
  </si>
  <si>
    <t>087/PHR724
10/2025-S5</t>
  </si>
  <si>
    <t>Survey Pemetaan, Desain Siteplan Lokasi Bor KRG-PK2, Limau Field</t>
  </si>
  <si>
    <t>088/PHR724
10/2025-S5</t>
  </si>
  <si>
    <t>Survey Pemetaan, Desain Siteplan
Lokasi Bor CLA-001, Pendopo Field</t>
  </si>
  <si>
    <t>Celosia</t>
  </si>
  <si>
    <t>093/PHR724
10/2025-S5</t>
  </si>
  <si>
    <t>7/18/2025</t>
  </si>
  <si>
    <t>10/17/2025</t>
  </si>
  <si>
    <t>Survey Pemetaan, Desain Siteplan Lokasi Bor BNG-D5, Adera Field</t>
  </si>
  <si>
    <t>097/PHR724
10/2025-S5</t>
  </si>
  <si>
    <t>7/28/2025</t>
  </si>
  <si>
    <t>Survey Topography Fasilitas Produksi Clusterline Gas Benuang</t>
  </si>
  <si>
    <t>101/PHR724
10/2025-S0</t>
  </si>
  <si>
    <t>8/15/2025</t>
  </si>
  <si>
    <t>10/15/2025</t>
  </si>
  <si>
    <t>Survey Pemetaan, Desain Siteplan
Lokasi Bor BEL-K7, BEL-K8 &amp; BEL- K9</t>
  </si>
  <si>
    <t>Belimbing</t>
  </si>
  <si>
    <t>110/PHR724
10/2025-S0</t>
  </si>
  <si>
    <t>11/18/2025</t>
  </si>
  <si>
    <t>Survey Pemetaan, Desain Siteplan
Lokasi Bor LKT-24</t>
  </si>
  <si>
    <t>111/PHR724
10/2025-S0</t>
  </si>
  <si>
    <t>Survey Pemetaan, Desain Siteplan Lokasi Bor KRG-PB4, KRG-PB6,
dan KRG-PB7 (Reposisi)</t>
  </si>
  <si>
    <t>109/PHR724
10/2025-S0</t>
  </si>
  <si>
    <t>Pembuatan Desain Siteplan
Area 1 dan Area 2 di Pertamina EP Zona 4</t>
  </si>
  <si>
    <t>AREA</t>
  </si>
  <si>
    <t>108/PHR724
10/2025-S0</t>
  </si>
  <si>
    <t>10/23/2025</t>
  </si>
  <si>
    <t>Survey Pemetaan, Desain Siteplan Lokasi Bor BKT-AW2</t>
  </si>
  <si>
    <t>106/PHR724
10/2025-S0</t>
  </si>
  <si>
    <t>Survey Pemetaan, Desain Siteplan Lokasi Bor BKT-AW3</t>
  </si>
  <si>
    <t>BENAKAT</t>
  </si>
  <si>
    <t>107/PHR724
10/2025-S0</t>
  </si>
  <si>
    <t>Survey Pemetaan, Desain
Siteplan Lokasi BNG-B9</t>
  </si>
  <si>
    <t>112/PHR724
10/2025-S0</t>
  </si>
  <si>
    <t>11/20/2025</t>
  </si>
  <si>
    <t>Survey Pemetaan, Desain
Siteplan Lokasi GNK-PD77</t>
  </si>
  <si>
    <t>GUNUNG KEMALA</t>
  </si>
  <si>
    <t>114/PHR724
10/2025-S0</t>
  </si>
  <si>
    <t>Survey Pemetaan, Desain
Siteplan Lokasi NRB-B</t>
  </si>
  <si>
    <t>NIRU</t>
  </si>
  <si>
    <t>115/PHR724
10/2025-S0</t>
  </si>
  <si>
    <t>Survey Pemetaan, Desain
Siteplan Lokasi ABB-A5</t>
  </si>
  <si>
    <t>113/PHR724
10/2025-S0</t>
  </si>
  <si>
    <t>Survey Topography Fasilitas
Produksi Flowline BNG-A12, Adera Field</t>
  </si>
  <si>
    <t>BENUANG</t>
  </si>
  <si>
    <t>143/PHR724
10/2025-S0</t>
  </si>
  <si>
    <t>12/18/2025</t>
  </si>
  <si>
    <t>Survey Pemetaan, Desain Siteplan Lokasi LKT-02, Prabumulih Field</t>
  </si>
  <si>
    <t>138/PHR724
10/2025-S0</t>
  </si>
  <si>
    <t>12/13/2025</t>
  </si>
  <si>
    <t>Survey Pemetaan, Desain Siteplan
Lokasi PMN-I</t>
  </si>
  <si>
    <t>141/PHR724
10/2025-S0</t>
  </si>
  <si>
    <t>Survey Pemetaan, Desain Siteplan Lokasi DWA-D1, Adera Field</t>
  </si>
  <si>
    <t>Dewa</t>
  </si>
  <si>
    <t>140/PHR724
10/2025-S0</t>
  </si>
  <si>
    <t>Survey Pemetaan, Desain Siteplan Lokasi DWA-D3, Adera Field</t>
  </si>
  <si>
    <t>139/PHR724
10/2025-S0</t>
  </si>
  <si>
    <t>Survey Topography Fasilitas
Produksi Flowline ABB-SE1, Adera Field</t>
  </si>
  <si>
    <t>Abab</t>
  </si>
  <si>
    <t>149/PHR724
10/2025-S0</t>
  </si>
  <si>
    <t>11/17/2025</t>
  </si>
  <si>
    <t>1/15/2026</t>
  </si>
  <si>
    <t>Survey Topography Fasilitas
Produksi Flowline ABB-SW02, Adera Field</t>
  </si>
  <si>
    <t>148/PHR724
10/2025-S0</t>
  </si>
  <si>
    <t>Pekerjaan Stakeout BNG-D13,
BNG-D18, BNG-D19, BNG-D20, &amp; BNG-D21</t>
  </si>
  <si>
    <t>151PHR7241
0/2025-S0</t>
  </si>
  <si>
    <t>Pembuatan Desain Siteplan &amp;
Stakeout di Lokasi BNG-D14 &amp; BNG-D22</t>
  </si>
  <si>
    <t>159/PHR724
10/2025-S0</t>
  </si>
  <si>
    <t>Pembuatan Desain Siteplan Lokasi
KRG-PB8</t>
  </si>
  <si>
    <t>153/PHR724
10/2025-S0</t>
  </si>
  <si>
    <t>11/21/2025</t>
  </si>
  <si>
    <t>Survey Pemetaan, Desain Siteplan
Lokasi ABB-SE1</t>
  </si>
  <si>
    <t>156/PHR724
10/2025-S0</t>
  </si>
  <si>
    <t>Survey Pemetaan, Desain Siteplan
Lokasi ABB-SW02</t>
  </si>
  <si>
    <t>155/PHR724
10/2025-S0</t>
  </si>
  <si>
    <t>Survey Pemetaan, Desain Siteplan Lokasi KRG-PB5 / KRG-HZ1</t>
  </si>
  <si>
    <t>154/PHR724
10/2025-S0</t>
  </si>
  <si>
    <t>Survey Pemetaan, Desain Siteplan
Lokasi EPF-1, EPF-2 &amp; EPF-4 Di Gunung Kemala</t>
  </si>
  <si>
    <t>152/PHR724
10/2025-S0</t>
  </si>
  <si>
    <t>Survey Topography Fasilitas Produksi Flowline TLJT-05,
Prabumulih Field</t>
  </si>
  <si>
    <t>163/PHR724
10/2025-S0</t>
  </si>
  <si>
    <t>11/28/2025</t>
  </si>
  <si>
    <t>Survey Topography Fasilitas
Produksi Flowline DWA-D1, Adera Field</t>
  </si>
  <si>
    <t>161/PHR724
10/2025-S0</t>
  </si>
  <si>
    <t>Survey Pemetaan BN-B31
Reposisi</t>
  </si>
  <si>
    <t>167/PHR724
10/2026-S0</t>
  </si>
  <si>
    <t>3/23/2026</t>
  </si>
  <si>
    <t>5/13/2026</t>
  </si>
  <si>
    <t>Survey Pemetaan GNK-PD77
Reposisi</t>
  </si>
  <si>
    <t>166/PHR724
10/2025-S0</t>
  </si>
  <si>
    <t>1/30/2026</t>
  </si>
  <si>
    <t>Survey Topography Fasilitas
Produksi Flowline BKT-AW02 &amp; BKT-AW03</t>
  </si>
  <si>
    <t>169/PHR724
10/2025-S0</t>
  </si>
  <si>
    <t>12/19/2025</t>
  </si>
  <si>
    <t>1/29/2026</t>
  </si>
  <si>
    <t>Survey Topography Fasilitas
Produksi Flowline PMN-I</t>
  </si>
  <si>
    <t>171/PHR724
10/2025-S0</t>
  </si>
  <si>
    <t>Survey Pemetaan, Desain Siteplan
Lokasi GNK-PD18</t>
  </si>
  <si>
    <t>003/PHR724
10/2026-S0</t>
  </si>
  <si>
    <t>1/16/2026</t>
  </si>
  <si>
    <t>2/26/2026</t>
  </si>
  <si>
    <t>Survey Topography Fasilitas
Produksi Flowline TAP-NW12</t>
  </si>
  <si>
    <t>Talang Akar
Pendopo</t>
  </si>
  <si>
    <t>005/PHR724
10/2026-S0</t>
  </si>
  <si>
    <t>Survey Topography Fasilitas
Produksi Flowline BEL-K10</t>
  </si>
  <si>
    <t>006/PHR724
10/2026-S0</t>
  </si>
  <si>
    <t>3/22/2026</t>
  </si>
  <si>
    <t>Survey Pemetaan Tambahan Lokasi
BKT-AW3</t>
  </si>
  <si>
    <t>011/PHR72410/
2026-S0</t>
  </si>
  <si>
    <t>2/20/2026</t>
  </si>
  <si>
    <t>Desain dan Stake Out Lokasi ABB-AR007</t>
  </si>
  <si>
    <t>013/PHR72410/
2026-S5</t>
  </si>
  <si>
    <t>4/30/2026</t>
  </si>
  <si>
    <t>Survey Akuisisi Data Lidar Fasilitas Produksi Flowline Gunung Kemala</t>
  </si>
  <si>
    <t>014/PHR72410/
2026-S0</t>
  </si>
  <si>
    <t>4/28/2026</t>
  </si>
  <si>
    <t>Survey Pemetaan Reroute Akses Jalan BRG-U9</t>
  </si>
  <si>
    <t>016/PHR72410/
2026-S0</t>
  </si>
  <si>
    <t>3/13/2026</t>
  </si>
  <si>
    <t>Rencana Pengembangan SP II dan SP III ABAB</t>
  </si>
  <si>
    <t>017/PHR72410/
2026-S0</t>
  </si>
  <si>
    <t>5/30/2026</t>
  </si>
  <si>
    <t>Survey Pemetaan Jalur Flowline TMB-PG7</t>
  </si>
  <si>
    <t>032/PHR72410/2026-S0</t>
  </si>
  <si>
    <t>Survey Topografi Jalur Flowline DWA-D3</t>
  </si>
  <si>
    <t>031/PHR72410/2026-S0</t>
  </si>
  <si>
    <t>Pekerjaan Stake Out GNK-PD28</t>
  </si>
  <si>
    <t>027/PHR72410/2026-S0</t>
  </si>
  <si>
    <t>Survey Pemetaan, Desain Siteplan Lokasi KRG-INF1</t>
  </si>
  <si>
    <t>028/PHR72410/2026-S0</t>
  </si>
  <si>
    <t>Pekerjaan Stake Out LBA-X13</t>
  </si>
  <si>
    <t>Limau Barat</t>
  </si>
  <si>
    <t>029/PHR72410/2026-S0</t>
  </si>
  <si>
    <t>Survey Pemetaan, Desain Site Plan Lokasi TMB-PG7</t>
  </si>
  <si>
    <t>030/PHR72410/2026-S0</t>
  </si>
  <si>
    <t>Survey Pemetaan, Desain Site Plan Lokasi BKB-ST.02</t>
  </si>
  <si>
    <t>033/PHR72410/2026-S0</t>
  </si>
  <si>
    <t>Survey Pemetaan, Desain Site Plan Lokasi ABB-A6</t>
  </si>
  <si>
    <t>034/PHR72410/2026-S0</t>
  </si>
  <si>
    <t xml:space="preserve">Stake Out &amp; Inventaris Flowline NRB-B </t>
  </si>
  <si>
    <t>038/PHR72410/2026-S0</t>
  </si>
  <si>
    <t>Stake Out &amp; Inventaris Lokasi Wilela</t>
  </si>
  <si>
    <t>Wilela</t>
  </si>
  <si>
    <t>037/PHR72410/2026-S0</t>
  </si>
  <si>
    <t>Survey Pemetaan, Desain Site Plan Lokasi BKB-AR.013</t>
  </si>
  <si>
    <t>044/PHR72410/2026-S0</t>
  </si>
  <si>
    <t>Survey Pemetaan, Desain Site Plan Lokasi GNK-PD78</t>
  </si>
  <si>
    <t>043/PHR72410/2026-S0</t>
  </si>
  <si>
    <t>Survey Pemetaan, Desain Site Plan Lokasi BKB-ST.04</t>
  </si>
  <si>
    <t>042/PHR72410/2026-S0</t>
  </si>
  <si>
    <t>Survey Pemetaan, Desain Site Plan Lokasi BKB-AR.015</t>
  </si>
  <si>
    <t>045/PHR72410/2026-S0</t>
  </si>
  <si>
    <t>Survey Pemetaan, Desain Site Plan Lokasi BNG-A17</t>
  </si>
  <si>
    <t>051/PHR72410/2026-S0</t>
  </si>
  <si>
    <t>Survey Pemetaan, Desain Site Plan Lokasi TMB-PG6</t>
  </si>
  <si>
    <t>050/PHR72410/2026-S0</t>
  </si>
  <si>
    <t>Survey Pemetaan, Desain Site Plan Lokasi BEL-K11</t>
  </si>
  <si>
    <t>049/PHR72410/2026-S0</t>
  </si>
  <si>
    <t>Survey Pemetaan, Desain Site Plan Lokasi BEL-K12</t>
  </si>
  <si>
    <t>048/PHR72410/2026-S0</t>
  </si>
  <si>
    <t>Survey Topography Jalur Flowline Lokasi GNK-PD78</t>
  </si>
  <si>
    <t>058/PHR72410/2026-S0</t>
  </si>
  <si>
    <t>Survey Topography Jalur Flowline BKB-AR.01 dan BKB-AR.07</t>
  </si>
  <si>
    <t>057/PHR72410/2026-S0</t>
  </si>
  <si>
    <t>Survey Pemetaan, Desain Site Plan Lokasi ABB-A7</t>
  </si>
  <si>
    <t>059/PHR72410/2026-S0</t>
  </si>
  <si>
    <t>Survey Pemetaan, Desain Site Plan Lokasi IBT-3</t>
  </si>
  <si>
    <t>Ibul Tenggara</t>
  </si>
  <si>
    <t>060/PHR72410/2026-S0</t>
  </si>
  <si>
    <t>Survey Topography Fasilitas Produksi Perluasan SKG3 GNK</t>
  </si>
  <si>
    <t>063/PHR72410/2026-S0</t>
  </si>
  <si>
    <t>Survey Topografi Rencana Stasiun Pengumpul Benuang di
Area Blok E</t>
  </si>
  <si>
    <t>064/PHR72410/2026-S0</t>
  </si>
  <si>
    <t>Survey Pemetaan, Desain Site Plan Lokasi BNG-A3</t>
  </si>
  <si>
    <t>067/PHR72410/2026-S0</t>
  </si>
  <si>
    <t>Survey Pemetaan, Desain Site Plan Lokasi BNG-A20</t>
  </si>
  <si>
    <t>069/PHR72410/2026-S0</t>
  </si>
  <si>
    <t>Survey Pemetaan, Desain Site Plan Lokasi MSI-S1</t>
  </si>
  <si>
    <t>Musi Block</t>
  </si>
  <si>
    <t>071/PHR72410/2026-S0</t>
  </si>
  <si>
    <t>Survey Pemetaan, Desain Site Plan Lokasi BEL-K13</t>
  </si>
  <si>
    <t>074/PHR72410/2026-S0</t>
  </si>
  <si>
    <t>Survey Pemetaan, Desain Site Plan Lokasi MSI-S3</t>
  </si>
  <si>
    <t>073/PHR72410/2026-S0</t>
  </si>
  <si>
    <t>Survey Pemetaan, Desain Site Plan Lokasi SKG-INF</t>
  </si>
  <si>
    <t>Lahat</t>
  </si>
  <si>
    <t>072/PHR72410/2026-S0</t>
  </si>
  <si>
    <t>Survey Pemetaan, Desain Site Plan Lokasi GNK-PRDM1</t>
  </si>
  <si>
    <t>066/PHR72410/2026-S0</t>
  </si>
  <si>
    <t>Survey Pemetaan, Desain Site Plan Lokasi GNK-PRDM2</t>
  </si>
  <si>
    <t>065/PHR72410/2026-S0</t>
  </si>
  <si>
    <t>Survey Pemetaan, Desain Site Plan Lokasi TDN-IF1</t>
  </si>
  <si>
    <t>Tundan</t>
  </si>
  <si>
    <t>076/PHR72410/2026-S0</t>
  </si>
  <si>
    <t>Topografi Trunkline GNK Barat</t>
  </si>
  <si>
    <t>078/PHR72410/2026-S0</t>
  </si>
  <si>
    <t>Survey Pemetaan, Desain Siteplan Lokasi MBU-SO1</t>
  </si>
  <si>
    <t>077/PHR72410/2026-S0</t>
  </si>
  <si>
    <t>Survey Pemetaan, Desain Siteplan Lokasi BRG-C1</t>
  </si>
  <si>
    <t>081/PHR72410/2026-S0</t>
  </si>
  <si>
    <t>Survey Pemetaan, Desain Siteplan Lokasi BNG-D24</t>
  </si>
  <si>
    <t>084/PHR72410/2026-S0</t>
  </si>
  <si>
    <t>Survey Pemetaan, Desain Siteplan Lokasi TLJ-A51</t>
  </si>
  <si>
    <t>083/PHR72410/2026-S0</t>
  </si>
  <si>
    <t>Survey Pemetaan, Desain Siteplan Lokasi BRG-C2</t>
  </si>
  <si>
    <t>082/PHR72410/2026-S0</t>
  </si>
  <si>
    <t>Survey Pemetaan, Desain Siteplan Lokasi RB-A3</t>
  </si>
  <si>
    <t>Ramba</t>
  </si>
  <si>
    <t>091/PHR72410/2026-S0</t>
  </si>
  <si>
    <t>Survey Topography Jalur Flowline Lokasi GNK-PD77</t>
  </si>
  <si>
    <t>094/PHR72410/2026-S0</t>
  </si>
  <si>
    <t>Survey Topography Jalur Flowline Cluster BNG</t>
  </si>
  <si>
    <t>095/PHR72410/2026-S0</t>
  </si>
  <si>
    <r>
      <rPr>
        <b/>
        <sz val="16"/>
        <color rgb="FF000000"/>
        <rFont val="Arial"/>
        <charset val="134"/>
      </rPr>
      <t xml:space="preserve">Dashboard Monitoring Project
</t>
    </r>
    <r>
      <rPr>
        <b/>
        <sz val="11"/>
        <color rgb="FFCC0000"/>
        <rFont val="Arial"/>
        <charset val="134"/>
      </rPr>
      <t>Survey Topografi PT. Pertamina EP Zona 4</t>
    </r>
  </si>
  <si>
    <t>Total Nilai SPK Terbit</t>
  </si>
  <si>
    <t>PAD</t>
  </si>
  <si>
    <t>Total Luas Lokasi SPK (Ha)</t>
  </si>
  <si>
    <t>Total Biaya Operasional</t>
  </si>
  <si>
    <t>Laba Operasi</t>
  </si>
  <si>
    <t>SPK Selesai</t>
  </si>
  <si>
    <t>Total Luas Lokasi SPK Selesai (Ha)</t>
  </si>
  <si>
    <r>
      <rPr>
        <b/>
        <sz val="12"/>
        <color rgb="FFFFFFFF"/>
        <rFont val="Times New Roman"/>
        <charset val="134"/>
      </rPr>
      <t>ANGGARAN BIAYA</t>
    </r>
  </si>
  <si>
    <t>Akun</t>
  </si>
  <si>
    <t>No.</t>
  </si>
  <si>
    <t>Uraian</t>
  </si>
  <si>
    <t>Durasi</t>
  </si>
  <si>
    <t>Jumlah</t>
  </si>
  <si>
    <t>Satuan</t>
  </si>
  <si>
    <t>Harga Satuan (Rp)</t>
  </si>
  <si>
    <t>Jumlah (Rp)</t>
  </si>
  <si>
    <t>Realisasi Apr</t>
  </si>
  <si>
    <t>Selisih s.d. Apr</t>
  </si>
  <si>
    <t>Mei 25</t>
  </si>
  <si>
    <t>Realisasi Mei</t>
  </si>
  <si>
    <t>Selisih s.d. Mei</t>
  </si>
  <si>
    <t>Realisasi Jun</t>
  </si>
  <si>
    <t>Selisih s.d. Jun</t>
  </si>
  <si>
    <t>Realisasi Jul</t>
  </si>
  <si>
    <t>Selisih s.d. Jul</t>
  </si>
  <si>
    <t>Agust 25</t>
  </si>
  <si>
    <t>Realisasi Agust</t>
  </si>
  <si>
    <t>Selisih s.d. Agust</t>
  </si>
  <si>
    <t>Realisasi Sep</t>
  </si>
  <si>
    <t>Selisih s.d. Sep</t>
  </si>
  <si>
    <t>Okt 25</t>
  </si>
  <si>
    <t>Realisasi Okt</t>
  </si>
  <si>
    <t>Selisih s.d.Okt</t>
  </si>
  <si>
    <t>Realisasi Nov</t>
  </si>
  <si>
    <t>Selisih s.d.Nov</t>
  </si>
  <si>
    <t>Des 25</t>
  </si>
  <si>
    <t>Realisasi Des</t>
  </si>
  <si>
    <t>Selisih s.d.Des</t>
  </si>
  <si>
    <t>Tahun 1</t>
  </si>
  <si>
    <t>Realisasi Jan</t>
  </si>
  <si>
    <t>Selisih s.d.Jan</t>
  </si>
  <si>
    <t>Realisasi Feb</t>
  </si>
  <si>
    <t>Selisih s.d.Feb</t>
  </si>
  <si>
    <t>Realisasi Mar</t>
  </si>
  <si>
    <t>Selisih s.d. Mar</t>
  </si>
  <si>
    <t>Selisih s.d.Apr</t>
  </si>
  <si>
    <t>Mei 26</t>
  </si>
  <si>
    <t>Selisih s.d.Mei</t>
  </si>
  <si>
    <t>Selisih s.d.Jun</t>
  </si>
  <si>
    <t>Selisih s.d.Jul</t>
  </si>
  <si>
    <t>Agust 26</t>
  </si>
  <si>
    <t>Selisih s.d.Agust</t>
  </si>
  <si>
    <t>Selisih s.d.Sep</t>
  </si>
  <si>
    <t>Tahun 2</t>
  </si>
  <si>
    <t>REALISASI</t>
  </si>
  <si>
    <t>06/2025</t>
  </si>
  <si>
    <t>I</t>
  </si>
  <si>
    <t>Beban Personil / Tenaga Kerja Langsung</t>
  </si>
  <si>
    <t>1.1.</t>
  </si>
  <si>
    <t>Beban Gaji, THR &amp; Cuti, Insentif</t>
  </si>
  <si>
    <t>Prop</t>
  </si>
  <si>
    <t>Cuti</t>
  </si>
  <si>
    <t>THR</t>
  </si>
  <si>
    <t>Gaji</t>
  </si>
  <si>
    <t>F</t>
  </si>
  <si>
    <t>Project Manager</t>
  </si>
  <si>
    <t>orang</t>
  </si>
  <si>
    <t>1.2.</t>
  </si>
  <si>
    <t>Asuransi &amp; Jaminan</t>
  </si>
  <si>
    <t>1.2.1</t>
  </si>
  <si>
    <t>Asuransi BPJS Ketenagakerjaan</t>
  </si>
  <si>
    <t>1.2.1.1</t>
  </si>
  <si>
    <t>Jaminan Kecelakaan Kerja</t>
  </si>
  <si>
    <t>1.2.1.2</t>
  </si>
  <si>
    <t>Jaminan Hari Tua</t>
  </si>
  <si>
    <t>1.2.1.3</t>
  </si>
  <si>
    <t>Jaminan Kematian</t>
  </si>
  <si>
    <t>1.2.2</t>
  </si>
  <si>
    <t>Asuransi BPJS Kesehatan</t>
  </si>
  <si>
    <t>1.2.2.1</t>
  </si>
  <si>
    <t>Asuransi Kesehatan</t>
  </si>
  <si>
    <t>Beban Tunjangan PPH Pasal 21</t>
  </si>
  <si>
    <t>1.5.1</t>
  </si>
  <si>
    <t>Tunjangan PPH Pasal 21</t>
  </si>
  <si>
    <t>Beban Pegawai Lainnya</t>
  </si>
  <si>
    <t>1.6.1</t>
  </si>
  <si>
    <t>General Check Up</t>
  </si>
  <si>
    <t>Beban Pegawai Proyek</t>
  </si>
  <si>
    <t>1.7.1</t>
  </si>
  <si>
    <t>Upah Pegawai Proyek</t>
  </si>
  <si>
    <t>lumpsum</t>
  </si>
  <si>
    <t>1.7.3</t>
  </si>
  <si>
    <t>Tunjangan Pegawai Proyek</t>
  </si>
  <si>
    <t>Sub Total</t>
  </si>
  <si>
    <t>II</t>
  </si>
  <si>
    <t>Biaya Tenaga Ahli &amp; Labour Supply</t>
  </si>
  <si>
    <t>III</t>
  </si>
  <si>
    <t>Beban Perjalanan Dinas</t>
  </si>
  <si>
    <t>3.1.2</t>
  </si>
  <si>
    <t>V</t>
  </si>
  <si>
    <t>Biaya SPPD Dalam Negeri</t>
  </si>
  <si>
    <t>paket</t>
  </si>
  <si>
    <t>IV</t>
  </si>
  <si>
    <t>Beban Operasional</t>
  </si>
  <si>
    <t>4.1.</t>
  </si>
  <si>
    <t>Biaya Bahan Operasi</t>
  </si>
  <si>
    <t>4.1.1</t>
  </si>
  <si>
    <t>Biaya Bahan</t>
  </si>
  <si>
    <t>4.1.2</t>
  </si>
  <si>
    <t>Beban Alat dan Pakaian Keselamatan Kerja</t>
  </si>
  <si>
    <t>- Safety Shoes</t>
  </si>
  <si>
    <t>buah</t>
  </si>
  <si>
    <t>-</t>
  </si>
  <si>
    <t>- Helmet</t>
  </si>
  <si>
    <t>- Safety gloves</t>
  </si>
  <si>
    <t>- Safety glass</t>
  </si>
  <si>
    <t>- Uniform</t>
  </si>
  <si>
    <t>- Ear Muff</t>
  </si>
  <si>
    <t>4.1.3</t>
  </si>
  <si>
    <t>Beban Perlengkapan Kerja Proyek</t>
  </si>
  <si>
    <t>- Tas</t>
  </si>
  <si>
    <t>- Clip board</t>
  </si>
  <si>
    <t>- etc</t>
  </si>
  <si>
    <t>Biaya Kerjasama</t>
  </si>
  <si>
    <t>4.2.3</t>
  </si>
  <si>
    <t>Beban Kerjasama/Kemitraan</t>
  </si>
  <si>
    <t>4.3.</t>
  </si>
  <si>
    <t>Biaya Penunjang</t>
  </si>
  <si>
    <t>4.3.2</t>
  </si>
  <si>
    <t>Beban Pas Pelabuhan/Bandara/Porter/Handling</t>
  </si>
  <si>
    <t>4.3.5</t>
  </si>
  <si>
    <t>Uang Makan</t>
  </si>
  <si>
    <t>4.3.6</t>
  </si>
  <si>
    <t>Beban Laporan Hasil Pekerjaan</t>
  </si>
  <si>
    <t>- Beban Cetak dan Penjilidan Laporan</t>
  </si>
  <si>
    <t>eksemplar</t>
  </si>
  <si>
    <t>- Beban Pengiriman Laporan Hasil Pekerjaan</t>
  </si>
  <si>
    <t>Biaya Penjualan</t>
  </si>
  <si>
    <t>4.4.1</t>
  </si>
  <si>
    <t>Beban Representasi</t>
  </si>
  <si>
    <t>4.4.1.1</t>
  </si>
  <si>
    <t>- Beban Jamuan</t>
  </si>
  <si>
    <t>4.4.1.2</t>
  </si>
  <si>
    <t>- Beban Souvenir / Cenderamata</t>
  </si>
  <si>
    <t>4.4.1.3</t>
  </si>
  <si>
    <t>- Beban Canvassing</t>
  </si>
  <si>
    <t>Biaya Operasi Intern</t>
  </si>
  <si>
    <t>4.5.1</t>
  </si>
  <si>
    <t>Biaya Operasi Intern / IWO     ke :</t>
  </si>
  <si>
    <t>PIK            Geomatika</t>
  </si>
  <si>
    <t>Beban Fasilitas</t>
  </si>
  <si>
    <t>Bangunan / Gedung</t>
  </si>
  <si>
    <t>5.1.2</t>
  </si>
  <si>
    <t>Beban Sewa Bangunan / Ruang</t>
  </si>
  <si>
    <t>unit</t>
  </si>
  <si>
    <t>5.1.3</t>
  </si>
  <si>
    <t>Beban Pemakaian Listrik</t>
  </si>
  <si>
    <t>kali</t>
  </si>
  <si>
    <t>5.1.5</t>
  </si>
  <si>
    <t>Beban Pemakaian Gas</t>
  </si>
  <si>
    <t>Biaya Kendaraan</t>
  </si>
  <si>
    <t>5.4.3</t>
  </si>
  <si>
    <t>Beban Sewa Kendaraan Operasional</t>
  </si>
  <si>
    <t>5.4.5</t>
  </si>
  <si>
    <t>Beban BBM, Pelumas dsb</t>
  </si>
  <si>
    <t>liter</t>
  </si>
  <si>
    <t>Biaya Peralatan Kantor</t>
  </si>
  <si>
    <t>5.5.4</t>
  </si>
  <si>
    <t>Beban Inventaris Kantor</t>
  </si>
  <si>
    <t>Biaya Peralatan Sistem Informasi</t>
  </si>
  <si>
    <t>5.6.3</t>
  </si>
  <si>
    <t>Biaya Inventaris Kecil SI</t>
  </si>
  <si>
    <t>VI</t>
  </si>
  <si>
    <t>Beban Penyusutan &amp; Amortisasi</t>
  </si>
  <si>
    <t>VII</t>
  </si>
  <si>
    <t>Beban Kantor &amp; Diklat</t>
  </si>
  <si>
    <t>Biaya Alat Tulis Kantor &amp; Cetakan</t>
  </si>
  <si>
    <t>7.1.1</t>
  </si>
  <si>
    <t>Beban Alat Tulis (Stationary)</t>
  </si>
  <si>
    <t>- Kertas A4</t>
  </si>
  <si>
    <t>rim</t>
  </si>
  <si>
    <t>- Tinta Printer</t>
  </si>
  <si>
    <t>- Alat tulis</t>
  </si>
  <si>
    <t>Biaya Komunikasi</t>
  </si>
  <si>
    <t>7.2.4</t>
  </si>
  <si>
    <t>7.2.5</t>
  </si>
  <si>
    <t>Biaya Ekspedisi</t>
  </si>
  <si>
    <t>Biaya Rapat</t>
  </si>
  <si>
    <t>7.3.1</t>
  </si>
  <si>
    <t>Beban Sewa Ruangan Rapat</t>
  </si>
  <si>
    <t>7.3.2</t>
  </si>
  <si>
    <t>Beban Akomodasi Rapat</t>
  </si>
  <si>
    <t>7.3.3</t>
  </si>
  <si>
    <t>Beban Transportasi Rapat</t>
  </si>
  <si>
    <t>7.3.4</t>
  </si>
  <si>
    <t>Beban Materi Rapat</t>
  </si>
  <si>
    <t>VIII</t>
  </si>
  <si>
    <t>Beban Proyek Lainnya</t>
  </si>
  <si>
    <t>Biaya Tak Terduga</t>
  </si>
  <si>
    <t>Biaya Overhead</t>
  </si>
  <si>
    <t>Catatan :</t>
  </si>
  <si>
    <t>Pendapatan (excl PPn)</t>
  </si>
  <si>
    <t>Biaya Proyek</t>
  </si>
  <si>
    <t>Biaya Operasi</t>
  </si>
  <si>
    <t>Margin Laba Operasi</t>
  </si>
  <si>
    <r>
      <rPr>
        <b/>
        <sz val="12"/>
        <color rgb="FFBF0000"/>
        <rFont val="Times New Roman"/>
        <charset val="134"/>
      </rPr>
      <t>*) Catatan : Total Biaya Proyek yang diupload ke ERP dikurangi dengan</t>
    </r>
  </si>
  <si>
    <r>
      <rPr>
        <b/>
        <sz val="12"/>
        <color rgb="FF528CD4"/>
        <rFont val="Times New Roman"/>
        <charset val="134"/>
      </rPr>
      <t>Variable Cost</t>
    </r>
  </si>
  <si>
    <r>
      <rPr>
        <b/>
        <sz val="12"/>
        <color rgb="FFBF0000"/>
        <rFont val="Times New Roman"/>
        <charset val="134"/>
      </rPr>
      <t>Beban Personel Reguler dan Penyusutan.</t>
    </r>
  </si>
  <si>
    <r>
      <rPr>
        <b/>
        <sz val="12"/>
        <color rgb="FF528CD4"/>
        <rFont val="Times New Roman"/>
        <charset val="134"/>
      </rPr>
      <t>Fixed Cost</t>
    </r>
  </si>
  <si>
    <r>
      <rPr>
        <b/>
        <sz val="12"/>
        <color rgb="FF528CD4"/>
        <rFont val="Times New Roman"/>
        <charset val="134"/>
      </rPr>
      <t>Break Event Point (BEP)</t>
    </r>
  </si>
  <si>
    <r>
      <rPr>
        <b/>
        <sz val="12"/>
        <color rgb="FF528CD4"/>
        <rFont val="Times New Roman"/>
        <charset val="134"/>
      </rPr>
      <t>Degree of Leverage (DEL)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</si>
</sst>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mmm\ d"/>
    <numFmt numFmtId="177" formatCode="mm/yyyy"/>
    <numFmt numFmtId="178" formatCode="&quot;Rp&quot;#,##0.00"/>
    <numFmt numFmtId="179" formatCode="m\,d\,yy"/>
    <numFmt numFmtId="180" formatCode="0.0"/>
    <numFmt numFmtId="181" formatCode="&quot;Rp&quot;#,##0"/>
    <numFmt numFmtId="182" formatCode="0.0%"/>
    <numFmt numFmtId="183" formatCode="&quot;Rp&quot;#,##0.00;[Red]\-&quot;Rp&quot;#,##0.00"/>
    <numFmt numFmtId="184" formatCode="[$Rp]#,##0"/>
    <numFmt numFmtId="185" formatCode="mmmm\ yyyy"/>
    <numFmt numFmtId="186" formatCode="&quot;Rp&quot;#,##0;[Red]\-&quot;Rp&quot;#,##0"/>
    <numFmt numFmtId="187" formatCode="d/m/yyyy"/>
    <numFmt numFmtId="188" formatCode="dd/mm/yyyy"/>
  </numFmts>
  <fonts count="53">
    <font>
      <sz val="10"/>
      <color rgb="FF000000"/>
      <name val="Times New Roman"/>
      <charset val="134"/>
      <scheme val="minor"/>
    </font>
    <font>
      <b/>
      <sz val="12"/>
      <color theme="1"/>
      <name val="Times New Roman"/>
      <charset val="134"/>
    </font>
    <font>
      <sz val="10"/>
      <name val="Times New Roman"/>
      <charset val="134"/>
      <scheme val="minor"/>
    </font>
    <font>
      <sz val="12"/>
      <color rgb="FF000000"/>
      <name val="Times New Roman"/>
      <charset val="134"/>
    </font>
    <font>
      <b/>
      <sz val="11"/>
      <color theme="1"/>
      <name val="Calibri"/>
      <charset val="134"/>
    </font>
    <font>
      <b/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i/>
      <sz val="12"/>
      <color rgb="FF000000"/>
      <name val="Times New Roman"/>
      <charset val="134"/>
    </font>
    <font>
      <i/>
      <sz val="12"/>
      <color rgb="FF000000"/>
      <name val="Times New Roman"/>
      <charset val="134"/>
    </font>
    <font>
      <sz val="11"/>
      <color rgb="FF9C5700"/>
      <name val="Calibri"/>
      <charset val="134"/>
    </font>
    <font>
      <sz val="11"/>
      <color rgb="FF006100"/>
      <name val="Calibri"/>
      <charset val="134"/>
    </font>
    <font>
      <b/>
      <sz val="12"/>
      <color rgb="FF000000"/>
      <name val="Times New Roman"/>
      <charset val="134"/>
    </font>
    <font>
      <sz val="11"/>
      <color rgb="FF9C0006"/>
      <name val="Calibri"/>
      <charset val="134"/>
    </font>
    <font>
      <sz val="12"/>
      <color rgb="FF9C5700"/>
      <name val="Times New Roman"/>
      <charset val="134"/>
    </font>
    <font>
      <b/>
      <sz val="11"/>
      <color rgb="FFFA7D00"/>
      <name val="Calibri"/>
      <charset val="134"/>
    </font>
    <font>
      <sz val="11"/>
      <color rgb="FF9C5700"/>
      <name val="Times New Roman"/>
      <charset val="134"/>
    </font>
    <font>
      <sz val="12"/>
      <color rgb="FFFFFFFF"/>
      <name val="Times New Roman"/>
      <charset val="134"/>
    </font>
    <font>
      <sz val="11"/>
      <color theme="1"/>
      <name val="Cambria"/>
      <charset val="134"/>
    </font>
    <font>
      <b/>
      <sz val="12"/>
      <color rgb="FF528CD4"/>
      <name val="Times New Roman"/>
      <charset val="134"/>
    </font>
    <font>
      <sz val="10"/>
      <color rgb="FF000000"/>
      <name val="Arial"/>
      <charset val="134"/>
    </font>
    <font>
      <b/>
      <sz val="16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b/>
      <sz val="17"/>
      <color rgb="FF000000"/>
      <name val="Arial"/>
      <charset val="134"/>
    </font>
    <font>
      <b/>
      <sz val="11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rgb="FF000000"/>
      <name val="Times New Roman"/>
      <charset val="134"/>
    </font>
    <font>
      <b/>
      <sz val="10"/>
      <color theme="1"/>
      <name val="Times New Roman"/>
      <charset val="134"/>
      <scheme val="minor"/>
    </font>
    <font>
      <sz val="10"/>
      <color theme="1"/>
      <name val="Times New Roman"/>
      <charset val="134"/>
      <scheme val="minor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  <font>
      <b/>
      <sz val="12"/>
      <color rgb="FFFFFFFF"/>
      <name val="Times New Roman"/>
      <charset val="134"/>
    </font>
    <font>
      <b/>
      <sz val="12"/>
      <color rgb="FFBF0000"/>
      <name val="Times New Roman"/>
      <charset val="134"/>
    </font>
    <font>
      <b/>
      <sz val="11"/>
      <color rgb="FFCC0000"/>
      <name val="Arial"/>
      <charset val="134"/>
    </font>
  </fonts>
  <fills count="63">
    <fill>
      <patternFill patternType="none"/>
    </fill>
    <fill>
      <patternFill patternType="gray125"/>
    </fill>
    <fill>
      <patternFill patternType="solid">
        <fgColor rgb="FF31859A"/>
        <bgColor rgb="FF31859A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79AFE2"/>
        <bgColor rgb="FF79AFE2"/>
      </patternFill>
    </fill>
    <fill>
      <patternFill patternType="solid">
        <fgColor rgb="FFB6DDE8"/>
        <bgColor rgb="FFB6DDE8"/>
      </patternFill>
    </fill>
    <fill>
      <patternFill patternType="solid">
        <fgColor rgb="FF91CDDB"/>
        <bgColor rgb="FF91CDDB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AEDF2"/>
        <bgColor rgb="FFDAEDF2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D1"/>
        <bgColor rgb="FFFFFFD1"/>
      </patternFill>
    </fill>
    <fill>
      <patternFill patternType="solid">
        <fgColor theme="0"/>
        <bgColor theme="0"/>
      </patternFill>
    </fill>
    <fill>
      <patternFill patternType="solid">
        <fgColor rgb="FFFFBF00"/>
        <bgColor rgb="FFFFBF00"/>
      </patternFill>
    </fill>
    <fill>
      <patternFill patternType="solid">
        <fgColor rgb="FFFBD4B3"/>
        <bgColor rgb="FFFBD4B3"/>
      </patternFill>
    </fill>
    <fill>
      <patternFill patternType="solid">
        <fgColor rgb="FFF2DBDB"/>
        <bgColor rgb="FFF2DBDB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9BBB59"/>
        <bgColor rgb="FF9BBB59"/>
      </patternFill>
    </fill>
    <fill>
      <patternFill patternType="solid">
        <fgColor rgb="FFC2D69B"/>
        <bgColor rgb="FFC2D69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32" borderId="3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0" borderId="37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3" borderId="5" applyNumberFormat="0" applyAlignment="0" applyProtection="0">
      <alignment vertical="center"/>
    </xf>
    <xf numFmtId="0" fontId="40" fillId="34" borderId="39" applyNumberFormat="0" applyAlignment="0" applyProtection="0">
      <alignment vertical="center"/>
    </xf>
    <xf numFmtId="0" fontId="41" fillId="34" borderId="5" applyNumberFormat="0" applyAlignment="0" applyProtection="0">
      <alignment vertical="center"/>
    </xf>
    <xf numFmtId="0" fontId="42" fillId="35" borderId="40" applyNumberForma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9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56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9" fillId="60" borderId="0" applyNumberFormat="0" applyBorder="0" applyAlignment="0" applyProtection="0">
      <alignment vertical="center"/>
    </xf>
    <xf numFmtId="0" fontId="49" fillId="61" borderId="0" applyNumberFormat="0" applyBorder="0" applyAlignment="0" applyProtection="0">
      <alignment vertical="center"/>
    </xf>
    <xf numFmtId="0" fontId="48" fillId="62" borderId="0" applyNumberFormat="0" applyBorder="0" applyAlignment="0" applyProtection="0">
      <alignment vertical="center"/>
    </xf>
  </cellStyleXfs>
  <cellXfs count="266">
    <xf numFmtId="0" fontId="0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176" fontId="1" fillId="0" borderId="3" xfId="0" applyNumberFormat="1" applyFont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left" vertical="top" wrapText="1"/>
    </xf>
    <xf numFmtId="177" fontId="3" fillId="6" borderId="3" xfId="0" applyNumberFormat="1" applyFont="1" applyFill="1" applyBorder="1" applyAlignment="1">
      <alignment horizontal="center" wrapText="1"/>
    </xf>
    <xf numFmtId="177" fontId="3" fillId="6" borderId="3" xfId="0" applyNumberFormat="1" applyFont="1" applyFill="1" applyBorder="1" applyAlignment="1">
      <alignment horizontal="left" wrapText="1"/>
    </xf>
    <xf numFmtId="178" fontId="3" fillId="6" borderId="3" xfId="0" applyNumberFormat="1" applyFont="1" applyFill="1" applyBorder="1" applyAlignment="1">
      <alignment horizontal="left" wrapText="1"/>
    </xf>
    <xf numFmtId="49" fontId="3" fillId="6" borderId="3" xfId="0" applyNumberFormat="1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178" fontId="3" fillId="0" borderId="3" xfId="0" applyNumberFormat="1" applyFont="1" applyBorder="1" applyAlignment="1">
      <alignment horizontal="left" wrapText="1"/>
    </xf>
    <xf numFmtId="178" fontId="7" fillId="7" borderId="3" xfId="0" applyNumberFormat="1" applyFont="1" applyFill="1" applyBorder="1" applyAlignment="1">
      <alignment horizontal="right" vertical="top" shrinkToFit="1"/>
    </xf>
    <xf numFmtId="178" fontId="7" fillId="7" borderId="1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79" fontId="3" fillId="0" borderId="3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9" fontId="3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/>
    </xf>
    <xf numFmtId="178" fontId="3" fillId="0" borderId="3" xfId="0" applyNumberFormat="1" applyFont="1" applyBorder="1" applyAlignment="1">
      <alignment horizontal="right" vertical="top" shrinkToFit="1"/>
    </xf>
    <xf numFmtId="178" fontId="8" fillId="0" borderId="3" xfId="0" applyNumberFormat="1" applyFont="1" applyBorder="1" applyAlignment="1">
      <alignment horizontal="right" vertical="top" shrinkToFit="1"/>
    </xf>
    <xf numFmtId="178" fontId="9" fillId="8" borderId="3" xfId="0" applyNumberFormat="1" applyFont="1" applyFill="1" applyBorder="1" applyAlignment="1">
      <alignment horizontal="right" vertical="top" shrinkToFit="1"/>
    </xf>
    <xf numFmtId="178" fontId="10" fillId="9" borderId="3" xfId="0" applyNumberFormat="1" applyFont="1" applyFill="1" applyBorder="1" applyAlignment="1">
      <alignment horizontal="right" vertical="top" shrinkToFit="1"/>
    </xf>
    <xf numFmtId="178" fontId="8" fillId="0" borderId="3" xfId="0" applyNumberFormat="1" applyFont="1" applyBorder="1" applyAlignment="1">
      <alignment horizontal="left" vertical="top" shrinkToFit="1"/>
    </xf>
    <xf numFmtId="178" fontId="7" fillId="0" borderId="3" xfId="0" applyNumberFormat="1" applyFont="1" applyBorder="1" applyAlignment="1">
      <alignment horizontal="right" vertical="top" shrinkToFit="1"/>
    </xf>
    <xf numFmtId="178" fontId="7" fillId="0" borderId="1" xfId="0" applyNumberFormat="1" applyFont="1" applyBorder="1" applyAlignment="1">
      <alignment horizontal="right" vertical="top" shrinkToFit="1"/>
    </xf>
    <xf numFmtId="178" fontId="11" fillId="10" borderId="3" xfId="0" applyNumberFormat="1" applyFont="1" applyFill="1" applyBorder="1" applyAlignment="1">
      <alignment horizontal="right" vertical="top" shrinkToFit="1"/>
    </xf>
    <xf numFmtId="178" fontId="11" fillId="10" borderId="1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178" fontId="3" fillId="0" borderId="1" xfId="0" applyNumberFormat="1" applyFont="1" applyBorder="1" applyAlignment="1">
      <alignment horizontal="right" vertical="top" shrinkToFit="1"/>
    </xf>
    <xf numFmtId="180" fontId="7" fillId="0" borderId="3" xfId="0" applyNumberFormat="1" applyFont="1" applyBorder="1" applyAlignment="1">
      <alignment horizontal="center" vertical="top" shrinkToFit="1"/>
    </xf>
    <xf numFmtId="178" fontId="3" fillId="0" borderId="3" xfId="0" applyNumberFormat="1" applyFont="1" applyBorder="1" applyAlignment="1">
      <alignment horizontal="left" vertical="top" shrinkToFit="1"/>
    </xf>
    <xf numFmtId="178" fontId="12" fillId="11" borderId="3" xfId="0" applyNumberFormat="1" applyFont="1" applyFill="1" applyBorder="1" applyAlignment="1">
      <alignment horizontal="right" vertical="top" shrinkToFit="1"/>
    </xf>
    <xf numFmtId="178" fontId="13" fillId="8" borderId="3" xfId="0" applyNumberFormat="1" applyFont="1" applyFill="1" applyBorder="1" applyAlignment="1">
      <alignment horizontal="left" vertical="top" shrinkToFit="1"/>
    </xf>
    <xf numFmtId="178" fontId="13" fillId="8" borderId="3" xfId="0" applyNumberFormat="1" applyFont="1" applyFill="1" applyBorder="1" applyAlignment="1">
      <alignment horizontal="right" vertical="top" shrinkToFit="1"/>
    </xf>
    <xf numFmtId="178" fontId="3" fillId="0" borderId="0" xfId="0" applyNumberFormat="1" applyFont="1" applyAlignment="1">
      <alignment horizontal="left" vertical="top"/>
    </xf>
    <xf numFmtId="178" fontId="10" fillId="9" borderId="5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left" wrapText="1"/>
    </xf>
    <xf numFmtId="178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right" vertical="top" wrapText="1"/>
    </xf>
    <xf numFmtId="178" fontId="11" fillId="0" borderId="3" xfId="0" applyNumberFormat="1" applyFont="1" applyBorder="1" applyAlignment="1">
      <alignment horizontal="right" vertical="top" shrinkToFit="1"/>
    </xf>
    <xf numFmtId="178" fontId="14" fillId="12" borderId="5" xfId="0" applyNumberFormat="1" applyFont="1" applyFill="1" applyBorder="1" applyAlignment="1">
      <alignment horizontal="right" vertical="top" shrinkToFit="1"/>
    </xf>
    <xf numFmtId="178" fontId="11" fillId="0" borderId="1" xfId="0" applyNumberFormat="1" applyFont="1" applyBorder="1" applyAlignment="1">
      <alignment horizontal="right" vertical="top" shrinkToFit="1"/>
    </xf>
    <xf numFmtId="0" fontId="1" fillId="6" borderId="4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178" fontId="1" fillId="0" borderId="2" xfId="0" applyNumberFormat="1" applyFont="1" applyBorder="1" applyAlignment="1">
      <alignment horizontal="right" vertical="top" wrapText="1"/>
    </xf>
    <xf numFmtId="178" fontId="11" fillId="0" borderId="4" xfId="0" applyNumberFormat="1" applyFont="1" applyBorder="1" applyAlignment="1">
      <alignment horizontal="right" vertical="top" shrinkToFit="1"/>
    </xf>
    <xf numFmtId="178" fontId="11" fillId="0" borderId="2" xfId="0" applyNumberFormat="1" applyFont="1" applyBorder="1" applyAlignment="1">
      <alignment horizontal="right" vertical="top" shrinkToFit="1"/>
    </xf>
    <xf numFmtId="0" fontId="3" fillId="6" borderId="3" xfId="0" applyFont="1" applyFill="1" applyBorder="1" applyAlignment="1">
      <alignment horizontal="right" wrapText="1"/>
    </xf>
    <xf numFmtId="178" fontId="6" fillId="0" borderId="3" xfId="0" applyNumberFormat="1" applyFont="1" applyBorder="1" applyAlignment="1">
      <alignment horizontal="right" vertical="top" wrapText="1"/>
    </xf>
    <xf numFmtId="178" fontId="10" fillId="9" borderId="3" xfId="0" applyNumberFormat="1" applyFont="1" applyFill="1" applyBorder="1" applyAlignment="1">
      <alignment horizontal="right" vertical="top" wrapText="1"/>
    </xf>
    <xf numFmtId="178" fontId="9" fillId="8" borderId="3" xfId="0" applyNumberFormat="1" applyFont="1" applyFill="1" applyBorder="1" applyAlignment="1">
      <alignment horizontal="right" vertical="top" wrapText="1"/>
    </xf>
    <xf numFmtId="178" fontId="13" fillId="8" borderId="3" xfId="0" applyNumberFormat="1" applyFont="1" applyFill="1" applyBorder="1" applyAlignment="1">
      <alignment horizontal="right" vertical="top" wrapText="1"/>
    </xf>
    <xf numFmtId="178" fontId="6" fillId="0" borderId="1" xfId="0" applyNumberFormat="1" applyFont="1" applyBorder="1" applyAlignment="1">
      <alignment horizontal="right" vertical="top" wrapText="1"/>
    </xf>
    <xf numFmtId="178" fontId="1" fillId="10" borderId="3" xfId="0" applyNumberFormat="1" applyFont="1" applyFill="1" applyBorder="1" applyAlignment="1">
      <alignment horizontal="right" vertical="top" wrapText="1"/>
    </xf>
    <xf numFmtId="178" fontId="12" fillId="11" borderId="3" xfId="0" applyNumberFormat="1" applyFont="1" applyFill="1" applyBorder="1" applyAlignment="1">
      <alignment horizontal="right" vertical="top" wrapText="1"/>
    </xf>
    <xf numFmtId="178" fontId="1" fillId="10" borderId="1" xfId="0" applyNumberFormat="1" applyFont="1" applyFill="1" applyBorder="1" applyAlignment="1">
      <alignment horizontal="right" vertical="top" wrapText="1"/>
    </xf>
    <xf numFmtId="178" fontId="9" fillId="0" borderId="3" xfId="0" applyNumberFormat="1" applyFont="1" applyBorder="1" applyAlignment="1">
      <alignment horizontal="right" vertical="top" wrapText="1"/>
    </xf>
    <xf numFmtId="178" fontId="15" fillId="8" borderId="3" xfId="0" applyNumberFormat="1" applyFont="1" applyFill="1" applyBorder="1" applyAlignment="1">
      <alignment horizontal="right" vertical="top" shrinkToFit="1"/>
    </xf>
    <xf numFmtId="3" fontId="3" fillId="0" borderId="0" xfId="0" applyNumberFormat="1" applyFont="1" applyAlignment="1">
      <alignment horizontal="left" vertical="top"/>
    </xf>
    <xf numFmtId="178" fontId="15" fillId="8" borderId="3" xfId="0" applyNumberFormat="1" applyFont="1" applyFill="1" applyBorder="1" applyAlignment="1">
      <alignment horizontal="right" vertical="top" wrapText="1"/>
    </xf>
    <xf numFmtId="178" fontId="10" fillId="9" borderId="6" xfId="0" applyNumberFormat="1" applyFont="1" applyFill="1" applyBorder="1" applyAlignment="1">
      <alignment horizontal="right" vertical="top" shrinkToFit="1"/>
    </xf>
    <xf numFmtId="178" fontId="9" fillId="8" borderId="6" xfId="0" applyNumberFormat="1" applyFont="1" applyFill="1" applyBorder="1" applyAlignment="1">
      <alignment horizontal="right" vertical="top" shrinkToFit="1"/>
    </xf>
    <xf numFmtId="178" fontId="10" fillId="9" borderId="6" xfId="0" applyNumberFormat="1" applyFont="1" applyFill="1" applyBorder="1" applyAlignment="1">
      <alignment horizontal="right" vertical="top" wrapText="1"/>
    </xf>
    <xf numFmtId="178" fontId="9" fillId="8" borderId="6" xfId="0" applyNumberFormat="1" applyFont="1" applyFill="1" applyBorder="1" applyAlignment="1">
      <alignment horizontal="right" vertical="top" wrapText="1"/>
    </xf>
    <xf numFmtId="178" fontId="13" fillId="8" borderId="6" xfId="0" applyNumberFormat="1" applyFont="1" applyFill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/>
    </xf>
    <xf numFmtId="178" fontId="3" fillId="0" borderId="4" xfId="0" applyNumberFormat="1" applyFont="1" applyBorder="1" applyAlignment="1">
      <alignment horizontal="right" vertical="top" shrinkToFit="1"/>
    </xf>
    <xf numFmtId="178" fontId="6" fillId="0" borderId="4" xfId="0" applyNumberFormat="1" applyFont="1" applyBorder="1" applyAlignment="1">
      <alignment horizontal="right" vertical="top" wrapText="1"/>
    </xf>
    <xf numFmtId="178" fontId="3" fillId="0" borderId="7" xfId="0" applyNumberFormat="1" applyFont="1" applyBorder="1" applyAlignment="1">
      <alignment horizontal="right" vertical="top" shrinkToFit="1"/>
    </xf>
    <xf numFmtId="178" fontId="3" fillId="0" borderId="7" xfId="0" applyNumberFormat="1" applyFont="1" applyBorder="1" applyAlignment="1">
      <alignment horizontal="left" wrapText="1"/>
    </xf>
    <xf numFmtId="0" fontId="6" fillId="3" borderId="2" xfId="0" applyFont="1" applyFill="1" applyBorder="1" applyAlignment="1">
      <alignment horizontal="left" vertical="top" wrapText="1"/>
    </xf>
    <xf numFmtId="178" fontId="12" fillId="11" borderId="6" xfId="0" applyNumberFormat="1" applyFont="1" applyFill="1" applyBorder="1" applyAlignment="1">
      <alignment horizontal="right" vertical="top" wrapText="1"/>
    </xf>
    <xf numFmtId="178" fontId="6" fillId="0" borderId="2" xfId="0" applyNumberFormat="1" applyFont="1" applyBorder="1" applyAlignment="1">
      <alignment horizontal="right" vertical="top" wrapText="1"/>
    </xf>
    <xf numFmtId="1" fontId="3" fillId="0" borderId="3" xfId="0" applyNumberFormat="1" applyFont="1" applyBorder="1" applyAlignment="1">
      <alignment horizontal="left" vertical="top" shrinkToFit="1"/>
    </xf>
    <xf numFmtId="178" fontId="16" fillId="0" borderId="3" xfId="0" applyNumberFormat="1" applyFont="1" applyBorder="1" applyAlignment="1">
      <alignment horizontal="center" vertical="top" shrinkToFit="1"/>
    </xf>
    <xf numFmtId="0" fontId="14" fillId="12" borderId="5" xfId="0" applyFont="1" applyFill="1" applyBorder="1" applyAlignment="1">
      <alignment horizontal="left" wrapText="1"/>
    </xf>
    <xf numFmtId="181" fontId="13" fillId="8" borderId="3" xfId="0" applyNumberFormat="1" applyFont="1" applyFill="1" applyBorder="1" applyAlignment="1">
      <alignment horizontal="right" vertical="top" shrinkToFit="1"/>
    </xf>
    <xf numFmtId="178" fontId="11" fillId="0" borderId="6" xfId="0" applyNumberFormat="1" applyFont="1" applyBorder="1" applyAlignment="1">
      <alignment horizontal="right" vertical="top" shrinkToFit="1"/>
    </xf>
    <xf numFmtId="0" fontId="3" fillId="6" borderId="2" xfId="0" applyFont="1" applyFill="1" applyBorder="1" applyAlignment="1">
      <alignment horizontal="left" wrapText="1"/>
    </xf>
    <xf numFmtId="178" fontId="11" fillId="6" borderId="3" xfId="0" applyNumberFormat="1" applyFont="1" applyFill="1" applyBorder="1" applyAlignment="1">
      <alignment horizontal="right" vertical="top" shrinkToFit="1"/>
    </xf>
    <xf numFmtId="178" fontId="11" fillId="6" borderId="3" xfId="0" applyNumberFormat="1" applyFont="1" applyFill="1" applyBorder="1" applyAlignment="1">
      <alignment horizontal="left" vertical="top" shrinkToFit="1"/>
    </xf>
    <xf numFmtId="178" fontId="11" fillId="6" borderId="1" xfId="0" applyNumberFormat="1" applyFont="1" applyFill="1" applyBorder="1" applyAlignment="1">
      <alignment horizontal="right" vertical="top" shrinkToFit="1"/>
    </xf>
    <xf numFmtId="182" fontId="11" fillId="13" borderId="3" xfId="0" applyNumberFormat="1" applyFont="1" applyFill="1" applyBorder="1" applyAlignment="1">
      <alignment horizontal="center" vertical="top" shrinkToFit="1"/>
    </xf>
    <xf numFmtId="0" fontId="6" fillId="14" borderId="3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left" vertical="top" wrapText="1"/>
    </xf>
    <xf numFmtId="182" fontId="11" fillId="14" borderId="3" xfId="0" applyNumberFormat="1" applyFont="1" applyFill="1" applyBorder="1" applyAlignment="1">
      <alignment horizontal="center" vertical="top" shrinkToFit="1"/>
    </xf>
    <xf numFmtId="181" fontId="17" fillId="15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 wrapText="1"/>
    </xf>
    <xf numFmtId="178" fontId="11" fillId="0" borderId="10" xfId="0" applyNumberFormat="1" applyFont="1" applyBorder="1" applyAlignment="1">
      <alignment horizontal="right" vertical="top" shrinkToFit="1"/>
    </xf>
    <xf numFmtId="178" fontId="11" fillId="0" borderId="6" xfId="0" applyNumberFormat="1" applyFont="1" applyBorder="1" applyAlignment="1">
      <alignment horizontal="left" vertical="top" shrinkToFit="1"/>
    </xf>
    <xf numFmtId="178" fontId="11" fillId="0" borderId="8" xfId="0" applyNumberFormat="1" applyFont="1" applyBorder="1" applyAlignment="1">
      <alignment horizontal="right" vertical="top" shrinkToFit="1"/>
    </xf>
    <xf numFmtId="0" fontId="1" fillId="0" borderId="11" xfId="0" applyFont="1" applyBorder="1" applyAlignment="1">
      <alignment horizontal="left" vertical="top" wrapText="1"/>
    </xf>
    <xf numFmtId="9" fontId="11" fillId="0" borderId="0" xfId="0" applyNumberFormat="1" applyFont="1" applyAlignment="1">
      <alignment horizontal="center" vertical="top" shrinkToFit="1"/>
    </xf>
    <xf numFmtId="178" fontId="11" fillId="0" borderId="12" xfId="0" applyNumberFormat="1" applyFont="1" applyBorder="1" applyAlignment="1">
      <alignment horizontal="right" vertical="top" shrinkToFit="1"/>
    </xf>
    <xf numFmtId="178" fontId="11" fillId="0" borderId="13" xfId="0" applyNumberFormat="1" applyFont="1" applyBorder="1" applyAlignment="1">
      <alignment horizontal="right" vertical="top" shrinkToFit="1"/>
    </xf>
    <xf numFmtId="178" fontId="11" fillId="0" borderId="13" xfId="0" applyNumberFormat="1" applyFont="1" applyBorder="1" applyAlignment="1">
      <alignment horizontal="left" vertical="top" shrinkToFit="1"/>
    </xf>
    <xf numFmtId="178" fontId="11" fillId="0" borderId="11" xfId="0" applyNumberFormat="1" applyFont="1" applyBorder="1" applyAlignment="1">
      <alignment horizontal="right" vertical="top" shrinkToFit="1"/>
    </xf>
    <xf numFmtId="10" fontId="11" fillId="0" borderId="0" xfId="0" applyNumberFormat="1" applyFont="1" applyAlignment="1">
      <alignment horizontal="center" vertical="top" shrinkToFit="1"/>
    </xf>
    <xf numFmtId="0" fontId="5" fillId="0" borderId="11" xfId="0" applyFont="1" applyBorder="1" applyAlignment="1">
      <alignment horizontal="left" vertical="top" wrapText="1"/>
    </xf>
    <xf numFmtId="10" fontId="11" fillId="16" borderId="12" xfId="0" applyNumberFormat="1" applyFont="1" applyFill="1" applyBorder="1" applyAlignment="1">
      <alignment horizontal="center" vertical="top" shrinkToFit="1"/>
    </xf>
    <xf numFmtId="10" fontId="11" fillId="17" borderId="13" xfId="0" applyNumberFormat="1" applyFont="1" applyFill="1" applyBorder="1" applyAlignment="1">
      <alignment horizontal="left" vertical="top" shrinkToFit="1"/>
    </xf>
    <xf numFmtId="10" fontId="11" fillId="17" borderId="13" xfId="0" applyNumberFormat="1" applyFont="1" applyFill="1" applyBorder="1" applyAlignment="1">
      <alignment horizontal="center" vertical="top" shrinkToFit="1"/>
    </xf>
    <xf numFmtId="10" fontId="11" fillId="17" borderId="11" xfId="0" applyNumberFormat="1" applyFont="1" applyFill="1" applyBorder="1" applyAlignment="1">
      <alignment horizontal="center" vertical="top" shrinkToFit="1"/>
    </xf>
    <xf numFmtId="10" fontId="11" fillId="17" borderId="3" xfId="0" applyNumberFormat="1" applyFont="1" applyFill="1" applyBorder="1" applyAlignment="1">
      <alignment horizontal="center" vertical="top" shrinkToFit="1"/>
    </xf>
    <xf numFmtId="0" fontId="3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1" fillId="18" borderId="8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78" fontId="18" fillId="0" borderId="10" xfId="0" applyNumberFormat="1" applyFont="1" applyBorder="1" applyAlignment="1">
      <alignment horizontal="right" vertical="top" shrinkToFit="1"/>
    </xf>
    <xf numFmtId="178" fontId="18" fillId="0" borderId="6" xfId="0" applyNumberFormat="1" applyFont="1" applyBorder="1" applyAlignment="1">
      <alignment horizontal="right" vertical="top" shrinkToFit="1"/>
    </xf>
    <xf numFmtId="178" fontId="18" fillId="0" borderId="8" xfId="0" applyNumberFormat="1" applyFont="1" applyBorder="1" applyAlignment="1">
      <alignment horizontal="right" vertical="top" shrinkToFit="1"/>
    </xf>
    <xf numFmtId="178" fontId="18" fillId="0" borderId="3" xfId="0" applyNumberFormat="1" applyFont="1" applyBorder="1" applyAlignment="1">
      <alignment horizontal="right" vertical="top" shrinkToFit="1"/>
    </xf>
    <xf numFmtId="0" fontId="1" fillId="18" borderId="1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178" fontId="18" fillId="0" borderId="12" xfId="0" applyNumberFormat="1" applyFont="1" applyBorder="1" applyAlignment="1">
      <alignment horizontal="right" vertical="top" shrinkToFit="1"/>
    </xf>
    <xf numFmtId="178" fontId="18" fillId="0" borderId="13" xfId="0" applyNumberFormat="1" applyFont="1" applyBorder="1" applyAlignment="1">
      <alignment horizontal="right" vertical="top" shrinkToFit="1"/>
    </xf>
    <xf numFmtId="178" fontId="18" fillId="0" borderId="11" xfId="0" applyNumberFormat="1" applyFont="1" applyBorder="1" applyAlignment="1">
      <alignment horizontal="right" vertical="top" shrinkToFit="1"/>
    </xf>
    <xf numFmtId="0" fontId="3" fillId="18" borderId="11" xfId="0" applyFont="1" applyFill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1" fillId="0" borderId="15" xfId="0" applyFont="1" applyBorder="1" applyAlignment="1">
      <alignment horizontal="left" vertical="top" wrapText="1"/>
    </xf>
    <xf numFmtId="2" fontId="18" fillId="0" borderId="16" xfId="0" applyNumberFormat="1" applyFont="1" applyBorder="1" applyAlignment="1">
      <alignment horizontal="right" vertical="top" shrinkToFit="1"/>
    </xf>
    <xf numFmtId="2" fontId="18" fillId="0" borderId="7" xfId="0" applyNumberFormat="1" applyFont="1" applyBorder="1" applyAlignment="1">
      <alignment horizontal="right" vertical="top" shrinkToFit="1"/>
    </xf>
    <xf numFmtId="2" fontId="18" fillId="0" borderId="14" xfId="0" applyNumberFormat="1" applyFont="1" applyBorder="1" applyAlignment="1">
      <alignment horizontal="right" vertical="top" shrinkToFit="1"/>
    </xf>
    <xf numFmtId="2" fontId="18" fillId="0" borderId="3" xfId="0" applyNumberFormat="1" applyFont="1" applyBorder="1" applyAlignment="1">
      <alignment horizontal="right" vertical="top" shrinkToFit="1"/>
    </xf>
    <xf numFmtId="0" fontId="19" fillId="0" borderId="0" xfId="0" applyFont="1" applyAlignment="1">
      <alignment horizontal="left" wrapText="1"/>
    </xf>
    <xf numFmtId="0" fontId="20" fillId="19" borderId="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20" borderId="0" xfId="0" applyFont="1" applyFill="1" applyBorder="1" applyAlignment="1">
      <alignment horizontal="center" vertical="center" wrapText="1"/>
    </xf>
    <xf numFmtId="0" fontId="21" fillId="21" borderId="0" xfId="0" applyFont="1" applyFill="1" applyBorder="1" applyAlignment="1">
      <alignment horizontal="center" vertical="center" wrapText="1"/>
    </xf>
    <xf numFmtId="0" fontId="22" fillId="22" borderId="0" xfId="0" applyFont="1" applyFill="1" applyBorder="1" applyAlignment="1">
      <alignment horizontal="center" vertical="center" wrapText="1"/>
    </xf>
    <xf numFmtId="183" fontId="20" fillId="23" borderId="0" xfId="0" applyNumberFormat="1" applyFont="1" applyFill="1" applyBorder="1" applyAlignment="1">
      <alignment horizontal="center" vertical="center" wrapText="1"/>
    </xf>
    <xf numFmtId="0" fontId="23" fillId="24" borderId="0" xfId="0" applyFont="1" applyFill="1" applyBorder="1" applyAlignment="1">
      <alignment horizontal="center" vertical="center" wrapText="1"/>
    </xf>
    <xf numFmtId="0" fontId="23" fillId="25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2" fontId="23" fillId="25" borderId="0" xfId="0" applyNumberFormat="1" applyFont="1" applyFill="1" applyBorder="1" applyAlignment="1">
      <alignment horizontal="center" vertical="center" wrapText="1"/>
    </xf>
    <xf numFmtId="178" fontId="19" fillId="0" borderId="0" xfId="0" applyNumberFormat="1" applyFont="1" applyAlignment="1">
      <alignment horizontal="left" wrapText="1"/>
    </xf>
    <xf numFmtId="0" fontId="24" fillId="26" borderId="17" xfId="0" applyFont="1" applyFill="1" applyBorder="1" applyAlignment="1">
      <alignment horizontal="center" vertical="center" wrapText="1"/>
    </xf>
    <xf numFmtId="0" fontId="24" fillId="26" borderId="18" xfId="0" applyFont="1" applyFill="1" applyBorder="1" applyAlignment="1">
      <alignment horizontal="center" vertical="center" wrapText="1"/>
    </xf>
    <xf numFmtId="0" fontId="24" fillId="26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5" fillId="27" borderId="18" xfId="0" applyFont="1" applyFill="1" applyBorder="1" applyAlignment="1">
      <alignment horizontal="center" vertical="center" wrapText="1"/>
    </xf>
    <xf numFmtId="0" fontId="4" fillId="27" borderId="0" xfId="0" applyFont="1" applyFill="1" applyAlignment="1">
      <alignment horizontal="left" vertical="center" wrapText="1"/>
    </xf>
    <xf numFmtId="0" fontId="26" fillId="0" borderId="0" xfId="0" applyFont="1" applyAlignment="1">
      <alignment horizontal="left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5" fillId="27" borderId="27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58" fontId="3" fillId="0" borderId="32" xfId="0" applyNumberFormat="1" applyFont="1" applyBorder="1" applyAlignment="1">
      <alignment horizontal="left" vertical="center" wrapText="1"/>
    </xf>
    <xf numFmtId="183" fontId="3" fillId="0" borderId="32" xfId="0" applyNumberFormat="1" applyFont="1" applyBorder="1" applyAlignment="1">
      <alignment horizontal="right" vertical="center" wrapText="1"/>
    </xf>
    <xf numFmtId="183" fontId="3" fillId="28" borderId="32" xfId="0" applyNumberFormat="1" applyFont="1" applyFill="1" applyBorder="1" applyAlignment="1">
      <alignment horizontal="right" vertical="center" wrapText="1"/>
    </xf>
    <xf numFmtId="184" fontId="6" fillId="0" borderId="32" xfId="0" applyNumberFormat="1" applyFont="1" applyBorder="1" applyAlignment="1">
      <alignment horizontal="center" vertical="center"/>
    </xf>
    <xf numFmtId="184" fontId="6" fillId="0" borderId="32" xfId="0" applyNumberFormat="1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184" fontId="26" fillId="0" borderId="0" xfId="0" applyNumberFormat="1" applyFont="1" applyAlignment="1">
      <alignment horizontal="right" vertical="center"/>
    </xf>
    <xf numFmtId="184" fontId="26" fillId="0" borderId="0" xfId="0" applyNumberFormat="1" applyFont="1" applyAlignment="1">
      <alignment horizontal="left"/>
    </xf>
    <xf numFmtId="58" fontId="3" fillId="0" borderId="3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78" fontId="3" fillId="15" borderId="32" xfId="0" applyNumberFormat="1" applyFont="1" applyFill="1" applyBorder="1" applyAlignment="1">
      <alignment horizontal="right" vertical="center"/>
    </xf>
    <xf numFmtId="178" fontId="3" fillId="27" borderId="32" xfId="0" applyNumberFormat="1" applyFont="1" applyFill="1" applyBorder="1" applyAlignment="1">
      <alignment horizontal="right" vertical="center"/>
    </xf>
    <xf numFmtId="184" fontId="3" fillId="0" borderId="32" xfId="0" applyNumberFormat="1" applyFont="1" applyBorder="1" applyAlignment="1">
      <alignment horizontal="center" vertical="center"/>
    </xf>
    <xf numFmtId="185" fontId="26" fillId="0" borderId="0" xfId="0" applyNumberFormat="1" applyFont="1" applyAlignment="1">
      <alignment horizontal="left"/>
    </xf>
    <xf numFmtId="0" fontId="3" fillId="3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center" vertical="top" wrapText="1"/>
    </xf>
    <xf numFmtId="58" fontId="3" fillId="0" borderId="32" xfId="0" applyNumberFormat="1" applyFont="1" applyBorder="1" applyAlignment="1">
      <alignment horizontal="left" vertical="top" wrapText="1"/>
    </xf>
    <xf numFmtId="178" fontId="3" fillId="0" borderId="32" xfId="0" applyNumberFormat="1" applyFont="1" applyBorder="1" applyAlignment="1">
      <alignment horizontal="right" vertical="center"/>
    </xf>
    <xf numFmtId="178" fontId="3" fillId="28" borderId="32" xfId="0" applyNumberFormat="1" applyFont="1" applyFill="1" applyBorder="1" applyAlignment="1">
      <alignment horizontal="right" vertical="center"/>
    </xf>
    <xf numFmtId="0" fontId="3" fillId="29" borderId="31" xfId="0" applyFont="1" applyFill="1" applyBorder="1" applyAlignment="1">
      <alignment horizontal="left" vertical="top" wrapText="1"/>
    </xf>
    <xf numFmtId="58" fontId="3" fillId="0" borderId="32" xfId="0" applyNumberFormat="1" applyFont="1" applyBorder="1" applyAlignment="1">
      <alignment horizontal="center" vertical="top" wrapText="1"/>
    </xf>
    <xf numFmtId="0" fontId="3" fillId="30" borderId="30" xfId="0" applyFont="1" applyFill="1" applyBorder="1" applyAlignment="1">
      <alignment horizontal="center" vertical="center" wrapText="1"/>
    </xf>
    <xf numFmtId="0" fontId="3" fillId="30" borderId="31" xfId="0" applyFont="1" applyFill="1" applyBorder="1" applyAlignment="1">
      <alignment horizontal="left" vertical="top" wrapText="1"/>
    </xf>
    <xf numFmtId="0" fontId="3" fillId="30" borderId="32" xfId="0" applyFont="1" applyFill="1" applyBorder="1" applyAlignment="1">
      <alignment horizontal="center" vertical="center" wrapText="1"/>
    </xf>
    <xf numFmtId="0" fontId="3" fillId="30" borderId="32" xfId="0" applyFont="1" applyFill="1" applyBorder="1" applyAlignment="1">
      <alignment horizontal="left" vertical="center" wrapText="1"/>
    </xf>
    <xf numFmtId="58" fontId="3" fillId="30" borderId="32" xfId="0" applyNumberFormat="1" applyFont="1" applyFill="1" applyBorder="1" applyAlignment="1">
      <alignment horizontal="left" vertical="top" wrapText="1"/>
    </xf>
    <xf numFmtId="0" fontId="3" fillId="30" borderId="32" xfId="0" applyFont="1" applyFill="1" applyBorder="1" applyAlignment="1">
      <alignment horizontal="center" vertical="top" wrapText="1"/>
    </xf>
    <xf numFmtId="183" fontId="3" fillId="30" borderId="32" xfId="0" applyNumberFormat="1" applyFont="1" applyFill="1" applyBorder="1" applyAlignment="1">
      <alignment horizontal="right" vertical="center" wrapText="1"/>
    </xf>
    <xf numFmtId="0" fontId="3" fillId="31" borderId="31" xfId="0" applyFont="1" applyFill="1" applyBorder="1" applyAlignment="1">
      <alignment horizontal="left" vertical="top" wrapText="1"/>
    </xf>
    <xf numFmtId="58" fontId="3" fillId="30" borderId="32" xfId="0" applyNumberFormat="1" applyFont="1" applyFill="1" applyBorder="1" applyAlignment="1">
      <alignment horizontal="center" vertical="top" wrapText="1"/>
    </xf>
    <xf numFmtId="0" fontId="3" fillId="29" borderId="32" xfId="0" applyFont="1" applyFill="1" applyBorder="1" applyAlignment="1">
      <alignment horizontal="center" vertical="center" wrapText="1"/>
    </xf>
    <xf numFmtId="0" fontId="3" fillId="29" borderId="32" xfId="0" applyFont="1" applyFill="1" applyBorder="1" applyAlignment="1">
      <alignment horizontal="left" vertical="center" wrapText="1"/>
    </xf>
    <xf numFmtId="0" fontId="3" fillId="29" borderId="32" xfId="0" applyFont="1" applyFill="1" applyBorder="1" applyAlignment="1">
      <alignment horizontal="left" vertical="top" wrapText="1"/>
    </xf>
    <xf numFmtId="0" fontId="3" fillId="29" borderId="32" xfId="0" applyFont="1" applyFill="1" applyBorder="1" applyAlignment="1">
      <alignment horizontal="center" vertical="top" wrapText="1"/>
    </xf>
    <xf numFmtId="183" fontId="3" fillId="29" borderId="32" xfId="0" applyNumberFormat="1" applyFont="1" applyFill="1" applyBorder="1" applyAlignment="1">
      <alignment horizontal="righ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top" wrapText="1"/>
    </xf>
    <xf numFmtId="0" fontId="3" fillId="30" borderId="35" xfId="0" applyFont="1" applyFill="1" applyBorder="1" applyAlignment="1">
      <alignment horizontal="left" vertical="top" wrapText="1"/>
    </xf>
    <xf numFmtId="178" fontId="3" fillId="30" borderId="32" xfId="0" applyNumberFormat="1" applyFont="1" applyFill="1" applyBorder="1" applyAlignment="1">
      <alignment horizontal="right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left" vertical="top" wrapText="1"/>
    </xf>
    <xf numFmtId="178" fontId="6" fillId="0" borderId="32" xfId="0" applyNumberFormat="1" applyFont="1" applyBorder="1" applyAlignment="1">
      <alignment horizontal="right" vertical="top"/>
    </xf>
    <xf numFmtId="178" fontId="6" fillId="0" borderId="32" xfId="0" applyNumberFormat="1" applyFont="1" applyBorder="1" applyAlignment="1">
      <alignment horizontal="right" vertical="center"/>
    </xf>
    <xf numFmtId="0" fontId="6" fillId="29" borderId="35" xfId="0" applyFont="1" applyFill="1" applyBorder="1" applyAlignment="1">
      <alignment horizontal="left" vertical="top"/>
    </xf>
    <xf numFmtId="0" fontId="6" fillId="0" borderId="32" xfId="0" applyFont="1" applyBorder="1" applyAlignment="1">
      <alignment horizontal="right" vertical="top"/>
    </xf>
    <xf numFmtId="0" fontId="6" fillId="0" borderId="32" xfId="0" applyFont="1" applyBorder="1" applyAlignment="1">
      <alignment horizontal="center" vertical="top"/>
    </xf>
    <xf numFmtId="58" fontId="6" fillId="0" borderId="32" xfId="0" applyNumberFormat="1" applyFont="1" applyBorder="1" applyAlignment="1">
      <alignment horizontal="right" vertical="top"/>
    </xf>
    <xf numFmtId="0" fontId="6" fillId="0" borderId="35" xfId="0" applyFont="1" applyBorder="1" applyAlignment="1">
      <alignment horizontal="left" vertical="top"/>
    </xf>
    <xf numFmtId="178" fontId="6" fillId="0" borderId="32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58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center" wrapText="1"/>
    </xf>
    <xf numFmtId="0" fontId="27" fillId="0" borderId="0" xfId="0" applyFont="1" applyAlignment="1">
      <alignment horizontal="left" vertical="top" wrapText="1"/>
    </xf>
    <xf numFmtId="0" fontId="26" fillId="0" borderId="0" xfId="0" applyFont="1" applyAlignment="1">
      <alignment horizontal="center"/>
    </xf>
    <xf numFmtId="183" fontId="26" fillId="0" borderId="0" xfId="0" applyNumberFormat="1" applyFont="1" applyAlignment="1">
      <alignment horizontal="right" vertical="center"/>
    </xf>
    <xf numFmtId="183" fontId="26" fillId="0" borderId="0" xfId="0" applyNumberFormat="1" applyFont="1" applyAlignment="1">
      <alignment horizontal="left"/>
    </xf>
    <xf numFmtId="0" fontId="26" fillId="0" borderId="0" xfId="0" applyFont="1" applyAlignment="1">
      <alignment horizontal="right" vertical="center"/>
    </xf>
    <xf numFmtId="178" fontId="26" fillId="0" borderId="0" xfId="0" applyNumberFormat="1" applyFont="1" applyAlignment="1">
      <alignment horizontal="left"/>
    </xf>
    <xf numFmtId="178" fontId="26" fillId="0" borderId="0" xfId="0" applyNumberFormat="1" applyFont="1" applyAlignment="1">
      <alignment horizontal="right" vertical="center"/>
    </xf>
    <xf numFmtId="0" fontId="28" fillId="19" borderId="3" xfId="0" applyFont="1" applyFill="1" applyBorder="1" applyAlignment="1">
      <alignment horizontal="center" vertical="top"/>
    </xf>
    <xf numFmtId="0" fontId="28" fillId="19" borderId="0" xfId="0" applyFont="1" applyFill="1" applyAlignment="1">
      <alignment horizontal="center" vertical="top"/>
    </xf>
    <xf numFmtId="0" fontId="28" fillId="19" borderId="0" xfId="0" applyFont="1" applyFill="1" applyAlignment="1">
      <alignment horizontal="left" vertical="top"/>
    </xf>
    <xf numFmtId="0" fontId="29" fillId="0" borderId="3" xfId="0" applyFont="1" applyBorder="1" applyAlignment="1">
      <alignment horizontal="left" vertical="top"/>
    </xf>
    <xf numFmtId="58" fontId="29" fillId="0" borderId="3" xfId="0" applyNumberFormat="1" applyFont="1" applyBorder="1" applyAlignment="1">
      <alignment horizontal="left" vertical="top"/>
    </xf>
    <xf numFmtId="186" fontId="29" fillId="0" borderId="3" xfId="0" applyNumberFormat="1" applyFont="1" applyBorder="1" applyAlignment="1">
      <alignment horizontal="left" vertical="top"/>
    </xf>
    <xf numFmtId="187" fontId="29" fillId="0" borderId="3" xfId="0" applyNumberFormat="1" applyFont="1" applyBorder="1" applyAlignment="1">
      <alignment horizontal="left" vertical="top"/>
    </xf>
    <xf numFmtId="184" fontId="29" fillId="0" borderId="3" xfId="0" applyNumberFormat="1" applyFont="1" applyBorder="1" applyAlignment="1">
      <alignment horizontal="left" vertical="top"/>
    </xf>
    <xf numFmtId="181" fontId="29" fillId="0" borderId="3" xfId="0" applyNumberFormat="1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188" fontId="29" fillId="0" borderId="3" xfId="0" applyNumberFormat="1" applyFont="1" applyBorder="1" applyAlignment="1">
      <alignment horizontal="left" vertical="top"/>
    </xf>
    <xf numFmtId="58" fontId="29" fillId="0" borderId="0" xfId="0" applyNumberFormat="1" applyFont="1" applyAlignment="1">
      <alignment horizontal="left" vertical="top"/>
    </xf>
    <xf numFmtId="186" fontId="29" fillId="0" borderId="0" xfId="0" applyNumberFormat="1" applyFont="1" applyAlignment="1">
      <alignment horizontal="left" vertical="top"/>
    </xf>
    <xf numFmtId="181" fontId="29" fillId="0" borderId="0" xfId="0" applyNumberFormat="1" applyFon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T1000"/>
  <sheetViews>
    <sheetView tabSelected="1" workbookViewId="0">
      <selection activeCell="B14" sqref="B14"/>
    </sheetView>
  </sheetViews>
  <sheetFormatPr defaultColWidth="14.4259259259259" defaultRowHeight="15" customHeight="1"/>
  <cols>
    <col min="1" max="1" width="6.28703703703704" customWidth="1"/>
    <col min="2" max="2" width="64.4259259259259" customWidth="1"/>
    <col min="10" max="10" width="14.4259259259259" hidden="1"/>
    <col min="17" max="17" width="14.4259259259259" hidden="1"/>
    <col min="19" max="19" width="14.712962962963" customWidth="1"/>
    <col min="20" max="20" width="34" customWidth="1"/>
  </cols>
  <sheetData>
    <row r="1" customHeight="1" spans="1:20">
      <c r="A1" s="252" t="str">
        <f>IFERROR(__xludf.DUMMYFUNCTION("IMPORTRANGE(""https://docs.google.com/spreadsheets/d/1GUj8s02sFIXT__rMo9d9JXTo3PPHHmhInmQJjJCyNwg/edit?usp=sharing"",""'Rekap SPK '!A1:T"")"),"No")</f>
        <v>No</v>
      </c>
      <c r="B1" s="252" t="str">
        <f>IFERROR(__xludf.DUMMYFUNCTION("""COMPUTED_VALUE"""),"Pekerjaan")</f>
        <v>Pekerjaan</v>
      </c>
      <c r="C1" s="252" t="str">
        <f>IFERROR(__xludf.DUMMYFUNCTION("""COMPUTED_VALUE"""),"Lokasi")</f>
        <v>Lokasi</v>
      </c>
      <c r="D1" s="252" t="str">
        <f>IFERROR(__xludf.DUMMYFUNCTION("""COMPUTED_VALUE"""),"Nomor")</f>
        <v>Nomor</v>
      </c>
      <c r="E1" s="252" t="str">
        <f>IFERROR(__xludf.DUMMYFUNCTION("""COMPUTED_VALUE"""),"TMT")</f>
        <v>TMT</v>
      </c>
      <c r="F1" s="252" t="str">
        <f>IFERROR(__xludf.DUMMYFUNCTION("""COMPUTED_VALUE"""),"Luas Area
(Ha)")</f>
        <v>Luas Area
(Ha)</v>
      </c>
      <c r="G1" s="252" t="str">
        <f>IFERROR(__xludf.DUMMYFUNCTION("""COMPUTED_VALUE"""),"Start")</f>
        <v>Start</v>
      </c>
      <c r="H1" s="252" t="str">
        <f>IFERROR(__xludf.DUMMYFUNCTION("""COMPUTED_VALUE"""),"Finish")</f>
        <v>Finish</v>
      </c>
      <c r="I1" s="252" t="str">
        <f>IFERROR(__xludf.DUMMYFUNCTION("""COMPUTED_VALUE"""),"Nilai SPK")</f>
        <v>Nilai SPK</v>
      </c>
      <c r="J1" s="252" t="str">
        <f>IFERROR(__xludf.DUMMYFUNCTION("""COMPUTED_VALUE"""),"Realisasi SAP")</f>
        <v>Realisasi SAP</v>
      </c>
      <c r="K1" s="252" t="str">
        <f>IFERROR(__xludf.DUMMYFUNCTION("""COMPUTED_VALUE"""),"Tanggal PAD")</f>
        <v>Tanggal PAD</v>
      </c>
      <c r="L1" s="252" t="str">
        <f>IFERROR(__xludf.DUMMYFUNCTION("""COMPUTED_VALUE"""),"Nilai PAD")</f>
        <v>Nilai PAD</v>
      </c>
      <c r="M1" s="252" t="str">
        <f>IFERROR(__xludf.DUMMYFUNCTION("""COMPUTED_VALUE"""),"Tanggal Opname")</f>
        <v>Tanggal Opname</v>
      </c>
      <c r="N1" s="252" t="str">
        <f>IFERROR(__xludf.DUMMYFUNCTION("""COMPUTED_VALUE"""),"Nilai Opname")</f>
        <v>Nilai Opname</v>
      </c>
      <c r="O1" s="252" t="str">
        <f>IFERROR(__xludf.DUMMYFUNCTION("""COMPUTED_VALUE"""),"Tanggal Invoice")</f>
        <v>Tanggal Invoice</v>
      </c>
      <c r="P1" s="252" t="str">
        <f>IFERROR(__xludf.DUMMYFUNCTION("""COMPUTED_VALUE"""),"BAST Invoice")</f>
        <v>BAST Invoice</v>
      </c>
      <c r="Q1" s="252" t="str">
        <f>IFERROR(__xludf.DUMMYFUNCTION("""COMPUTED_VALUE"""),"Denda")</f>
        <v>Denda</v>
      </c>
      <c r="R1" s="252" t="str">
        <f>IFERROR(__xludf.DUMMYFUNCTION("""COMPUTED_VALUE"""),"Final Invoice (inc. denda)")</f>
        <v>Final Invoice (inc. denda)</v>
      </c>
      <c r="S1" s="253" t="str">
        <f>IFERROR(__xludf.DUMMYFUNCTION("""COMPUTED_VALUE"""),"Nilai Invoice")</f>
        <v>Nilai Invoice</v>
      </c>
      <c r="T1" s="254" t="str">
        <f>IFERROR(__xludf.DUMMYFUNCTION("""COMPUTED_VALUE"""),"Additional Information")</f>
        <v>Additional Information</v>
      </c>
    </row>
    <row r="2" customHeight="1" spans="1:20">
      <c r="A2" s="255">
        <f>IFERROR(__xludf.DUMMYFUNCTION("""COMPUTED_VALUE"""),1)</f>
        <v>1</v>
      </c>
      <c r="B2" s="255" t="str">
        <f>IFERROR(__xludf.DUMMYFUNCTION("""COMPUTED_VALUE"""),"Survey Pemetaan, Desain Siteplan Lokasi Bor TLJT-04")</f>
        <v>Survey Pemetaan, Desain Siteplan Lokasi Bor TLJT-04</v>
      </c>
      <c r="C2" s="255" t="str">
        <f>IFERROR(__xludf.DUMMYFUNCTION("""COMPUTED_VALUE"""),"Talang Jimar")</f>
        <v>Talang Jimar</v>
      </c>
      <c r="D2" s="255" t="str">
        <f>IFERROR(__xludf.DUMMYFUNCTION("""COMPUTED_VALUE"""),"050/PHR724/2025-S0")</f>
        <v>050/PHR724/2025-S0</v>
      </c>
      <c r="E2" s="255">
        <f>IFERROR(__xludf.DUMMYFUNCTION("""COMPUTED_VALUE"""),42)</f>
        <v>42</v>
      </c>
      <c r="F2" s="255">
        <f>IFERROR(__xludf.DUMMYFUNCTION("""COMPUTED_VALUE"""),9.26)</f>
        <v>9.26</v>
      </c>
      <c r="G2" s="256">
        <f>IFERROR(__xludf.DUMMYFUNCTION("""COMPUTED_VALUE"""),45786)</f>
        <v>45786</v>
      </c>
      <c r="H2" s="256">
        <f>IFERROR(__xludf.DUMMYFUNCTION("""COMPUTED_VALUE"""),45827)</f>
        <v>45827</v>
      </c>
      <c r="I2" s="257">
        <f>IFERROR(__xludf.DUMMYFUNCTION("""COMPUTED_VALUE"""),101006000)</f>
        <v>101006000</v>
      </c>
      <c r="J2" s="257">
        <f>IFERROR(__xludf.DUMMYFUNCTION("""COMPUTED_VALUE"""),93196000)</f>
        <v>93196000</v>
      </c>
      <c r="K2" s="258">
        <f>IFERROR(__xludf.DUMMYFUNCTION("""COMPUTED_VALUE"""),45986)</f>
        <v>45986</v>
      </c>
      <c r="L2" s="259">
        <f>IFERROR(__xludf.DUMMYFUNCTION("""COMPUTED_VALUE"""),110379000)</f>
        <v>110379000</v>
      </c>
      <c r="M2" s="258">
        <f>IFERROR(__xludf.DUMMYFUNCTION("""COMPUTED_VALUE"""),45978)</f>
        <v>45978</v>
      </c>
      <c r="N2" s="259">
        <f>IFERROR(__xludf.DUMMYFUNCTION("""COMPUTED_VALUE"""),110379000)</f>
        <v>110379000</v>
      </c>
      <c r="O2" s="258">
        <f>IFERROR(__xludf.DUMMYFUNCTION("""COMPUTED_VALUE"""),46144)</f>
        <v>46144</v>
      </c>
      <c r="P2" s="259">
        <f>IFERROR(__xludf.DUMMYFUNCTION("""COMPUTED_VALUE"""),93196000)</f>
        <v>93196000</v>
      </c>
      <c r="Q2" s="260">
        <f>IFERROR(__xludf.DUMMYFUNCTION("""COMPUTED_VALUE"""),4659800)</f>
        <v>4659800</v>
      </c>
      <c r="R2" s="260">
        <f>IFERROR(__xludf.DUMMYFUNCTION("""COMPUTED_VALUE"""),88536200)</f>
        <v>88536200</v>
      </c>
      <c r="S2" s="261" t="str">
        <f>IFERROR(__xludf.DUMMYFUNCTION("""COMPUTED_VALUE"""),"Invoice")</f>
        <v>Invoice</v>
      </c>
      <c r="T2" s="261"/>
    </row>
    <row r="3" customHeight="1" spans="1:20">
      <c r="A3" s="255">
        <f>IFERROR(__xludf.DUMMYFUNCTION("""COMPUTED_VALUE"""),2)</f>
        <v>2</v>
      </c>
      <c r="B3" s="255" t="str">
        <f>IFERROR(__xludf.DUMMYFUNCTION("""COMPUTED_VALUE"""),"Survey Pemetaan, Desain Siteplan Lokasi Bor KRG-PB4, KRG-PB6 dan KRG-PB7")</f>
        <v>Survey Pemetaan, Desain Siteplan Lokasi Bor KRG-PB4, KRG-PB6 dan KRG-PB7</v>
      </c>
      <c r="C3" s="255" t="str">
        <f>IFERROR(__xludf.DUMMYFUNCTION("""COMPUTED_VALUE"""),"Karangan")</f>
        <v>Karangan</v>
      </c>
      <c r="D3" s="255" t="str">
        <f>IFERROR(__xludf.DUMMYFUNCTION("""COMPUTED_VALUE"""),"051/PHR72410/2025-S0")</f>
        <v>051/PHR72410/2025-S0</v>
      </c>
      <c r="E3" s="255">
        <f>IFERROR(__xludf.DUMMYFUNCTION("""COMPUTED_VALUE"""),42)</f>
        <v>42</v>
      </c>
      <c r="F3" s="255">
        <f>IFERROR(__xludf.DUMMYFUNCTION("""COMPUTED_VALUE"""),8.5)</f>
        <v>8.5</v>
      </c>
      <c r="G3" s="256">
        <f>IFERROR(__xludf.DUMMYFUNCTION("""COMPUTED_VALUE"""),45786)</f>
        <v>45786</v>
      </c>
      <c r="H3" s="256">
        <f>IFERROR(__xludf.DUMMYFUNCTION("""COMPUTED_VALUE"""),45827)</f>
        <v>45827</v>
      </c>
      <c r="I3" s="257">
        <f>IFERROR(__xludf.DUMMYFUNCTION("""COMPUTED_VALUE"""),86823000)</f>
        <v>86823000</v>
      </c>
      <c r="J3" s="257">
        <f>IFERROR(__xludf.DUMMYFUNCTION("""COMPUTED_VALUE"""),85532000)</f>
        <v>85532000</v>
      </c>
      <c r="K3" s="258">
        <f>IFERROR(__xludf.DUMMYFUNCTION("""COMPUTED_VALUE"""),45986)</f>
        <v>45986</v>
      </c>
      <c r="L3" s="259">
        <f>IFERROR(__xludf.DUMMYFUNCTION("""COMPUTED_VALUE"""),65568000)</f>
        <v>65568000</v>
      </c>
      <c r="M3" s="258">
        <f>IFERROR(__xludf.DUMMYFUNCTION("""COMPUTED_VALUE"""),45978)</f>
        <v>45978</v>
      </c>
      <c r="N3" s="259">
        <f>IFERROR(__xludf.DUMMYFUNCTION("""COMPUTED_VALUE"""),65568000)</f>
        <v>65568000</v>
      </c>
      <c r="O3" s="258">
        <f>IFERROR(__xludf.DUMMYFUNCTION("""COMPUTED_VALUE"""),46087)</f>
        <v>46087</v>
      </c>
      <c r="P3" s="259">
        <f>IFERROR(__xludf.DUMMYFUNCTION("""COMPUTED_VALUE"""),85532000)</f>
        <v>85532000</v>
      </c>
      <c r="Q3" s="260">
        <f>IFERROR(__xludf.DUMMYFUNCTION("""COMPUTED_VALUE"""),4276600)</f>
        <v>4276600</v>
      </c>
      <c r="R3" s="260">
        <f>IFERROR(__xludf.DUMMYFUNCTION("""COMPUTED_VALUE"""),81255400)</f>
        <v>81255400</v>
      </c>
      <c r="S3" s="261" t="str">
        <f>IFERROR(__xludf.DUMMYFUNCTION("""COMPUTED_VALUE"""),"Invoice")</f>
        <v>Invoice</v>
      </c>
      <c r="T3" s="261"/>
    </row>
    <row r="4" customHeight="1" spans="1:20">
      <c r="A4" s="255">
        <f>IFERROR(__xludf.DUMMYFUNCTION("""COMPUTED_VALUE"""),3)</f>
        <v>3</v>
      </c>
      <c r="B4" s="255" t="str">
        <f>IFERROR(__xludf.DUMMYFUNCTION("""COMPUTED_VALUE"""),"Survey Pemetaan, Desain Siteplan Lokasi Bor BNG-A19,B8,B7")</f>
        <v>Survey Pemetaan, Desain Siteplan Lokasi Bor BNG-A19,B8,B7</v>
      </c>
      <c r="C4" s="255" t="str">
        <f>IFERROR(__xludf.DUMMYFUNCTION("""COMPUTED_VALUE"""),"Benuang")</f>
        <v>Benuang</v>
      </c>
      <c r="D4" s="255" t="str">
        <f>IFERROR(__xludf.DUMMYFUNCTION("""COMPUTED_VALUE"""),"049/PHR72410/2025-S0")</f>
        <v>049/PHR72410/2025-S0</v>
      </c>
      <c r="E4" s="255">
        <f>IFERROR(__xludf.DUMMYFUNCTION("""COMPUTED_VALUE"""),42)</f>
        <v>42</v>
      </c>
      <c r="F4" s="255">
        <f>IFERROR(__xludf.DUMMYFUNCTION("""COMPUTED_VALUE"""),4.16)</f>
        <v>4.16</v>
      </c>
      <c r="G4" s="256">
        <f>IFERROR(__xludf.DUMMYFUNCTION("""COMPUTED_VALUE"""),45786)</f>
        <v>45786</v>
      </c>
      <c r="H4" s="256">
        <f>IFERROR(__xludf.DUMMYFUNCTION("""COMPUTED_VALUE"""),45827)</f>
        <v>45827</v>
      </c>
      <c r="I4" s="257">
        <f>IFERROR(__xludf.DUMMYFUNCTION("""COMPUTED_VALUE"""),66833000)</f>
        <v>66833000</v>
      </c>
      <c r="J4" s="257">
        <f>IFERROR(__xludf.DUMMYFUNCTION("""COMPUTED_VALUE"""),56817000)</f>
        <v>56817000</v>
      </c>
      <c r="K4" s="258">
        <f>IFERROR(__xludf.DUMMYFUNCTION("""COMPUTED_VALUE"""),45986)</f>
        <v>45986</v>
      </c>
      <c r="L4" s="259">
        <f>IFERROR(__xludf.DUMMYFUNCTION("""COMPUTED_VALUE"""),54070000)</f>
        <v>54070000</v>
      </c>
      <c r="M4" s="258">
        <f>IFERROR(__xludf.DUMMYFUNCTION("""COMPUTED_VALUE"""),45978)</f>
        <v>45978</v>
      </c>
      <c r="N4" s="259">
        <f>IFERROR(__xludf.DUMMYFUNCTION("""COMPUTED_VALUE"""),54070000)</f>
        <v>54070000</v>
      </c>
      <c r="O4" s="258">
        <f>IFERROR(__xludf.DUMMYFUNCTION("""COMPUTED_VALUE"""),46087)</f>
        <v>46087</v>
      </c>
      <c r="P4" s="259">
        <f>IFERROR(__xludf.DUMMYFUNCTION("""COMPUTED_VALUE"""),56817000)</f>
        <v>56817000</v>
      </c>
      <c r="Q4" s="260">
        <f>IFERROR(__xludf.DUMMYFUNCTION("""COMPUTED_VALUE"""),2840850)</f>
        <v>2840850</v>
      </c>
      <c r="R4" s="260">
        <f>IFERROR(__xludf.DUMMYFUNCTION("""COMPUTED_VALUE"""),53976150)</f>
        <v>53976150</v>
      </c>
      <c r="S4" s="261" t="str">
        <f>IFERROR(__xludf.DUMMYFUNCTION("""COMPUTED_VALUE"""),"Invoice")</f>
        <v>Invoice</v>
      </c>
      <c r="T4" s="261"/>
    </row>
    <row r="5" customHeight="1" spans="1:20">
      <c r="A5" s="255">
        <f>IFERROR(__xludf.DUMMYFUNCTION("""COMPUTED_VALUE"""),4)</f>
        <v>4</v>
      </c>
      <c r="B5" s="255" t="str">
        <f>IFERROR(__xludf.DUMMYFUNCTION("""COMPUTED_VALUE"""),"Survey Pemetaan, Desain Lokasi Bor GNK-PD28")</f>
        <v>Survey Pemetaan, Desain Lokasi Bor GNK-PD28</v>
      </c>
      <c r="C5" s="255" t="str">
        <f>IFERROR(__xludf.DUMMYFUNCTION("""COMPUTED_VALUE"""),"Gunung Kemala")</f>
        <v>Gunung Kemala</v>
      </c>
      <c r="D5" s="255" t="str">
        <f>IFERROR(__xludf.DUMMYFUNCTION("""COMPUTED_VALUE"""),"055/PHR72410/2025-S0")</f>
        <v>055/PHR72410/2025-S0</v>
      </c>
      <c r="E5" s="255">
        <f>IFERROR(__xludf.DUMMYFUNCTION("""COMPUTED_VALUE"""),42)</f>
        <v>42</v>
      </c>
      <c r="F5" s="255">
        <f>IFERROR(__xludf.DUMMYFUNCTION("""COMPUTED_VALUE"""),0.47)</f>
        <v>0.47</v>
      </c>
      <c r="G5" s="256">
        <f>IFERROR(__xludf.DUMMYFUNCTION("""COMPUTED_VALUE"""),45798)</f>
        <v>45798</v>
      </c>
      <c r="H5" s="256">
        <f>IFERROR(__xludf.DUMMYFUNCTION("""COMPUTED_VALUE"""),45839)</f>
        <v>45839</v>
      </c>
      <c r="I5" s="257">
        <f>IFERROR(__xludf.DUMMYFUNCTION("""COMPUTED_VALUE"""),22134000)</f>
        <v>22134000</v>
      </c>
      <c r="J5" s="257">
        <f>IFERROR(__xludf.DUMMYFUNCTION("""COMPUTED_VALUE"""),18745000)</f>
        <v>18745000</v>
      </c>
      <c r="K5" s="258">
        <f>IFERROR(__xludf.DUMMYFUNCTION("""COMPUTED_VALUE"""),45986)</f>
        <v>45986</v>
      </c>
      <c r="L5" s="259">
        <f>IFERROR(__xludf.DUMMYFUNCTION("""COMPUTED_VALUE"""),23354000)</f>
        <v>23354000</v>
      </c>
      <c r="M5" s="258">
        <f>IFERROR(__xludf.DUMMYFUNCTION("""COMPUTED_VALUE"""),45978)</f>
        <v>45978</v>
      </c>
      <c r="N5" s="259">
        <f>IFERROR(__xludf.DUMMYFUNCTION("""COMPUTED_VALUE"""),23345000)</f>
        <v>23345000</v>
      </c>
      <c r="O5" s="258">
        <f>IFERROR(__xludf.DUMMYFUNCTION("""COMPUTED_VALUE"""),46087)</f>
        <v>46087</v>
      </c>
      <c r="P5" s="259">
        <f>IFERROR(__xludf.DUMMYFUNCTION("""COMPUTED_VALUE"""),18745000)</f>
        <v>18745000</v>
      </c>
      <c r="Q5" s="260">
        <f>IFERROR(__xludf.DUMMYFUNCTION("""COMPUTED_VALUE"""),937250)</f>
        <v>937250</v>
      </c>
      <c r="R5" s="260">
        <f>IFERROR(__xludf.DUMMYFUNCTION("""COMPUTED_VALUE"""),17807750)</f>
        <v>17807750</v>
      </c>
      <c r="S5" s="261" t="str">
        <f>IFERROR(__xludf.DUMMYFUNCTION("""COMPUTED_VALUE"""),"Invoice")</f>
        <v>Invoice</v>
      </c>
      <c r="T5" s="261"/>
    </row>
    <row r="6" customHeight="1" spans="1:20">
      <c r="A6" s="255">
        <f>IFERROR(__xludf.DUMMYFUNCTION("""COMPUTED_VALUE"""),5)</f>
        <v>5</v>
      </c>
      <c r="B6" s="255" t="str">
        <f>IFERROR(__xludf.DUMMYFUNCTION("""COMPUTED_VALUE"""),"Survey Pemetaan, Desain Siteplan Lokasi Bor TLJT-05")</f>
        <v>Survey Pemetaan, Desain Siteplan Lokasi Bor TLJT-05</v>
      </c>
      <c r="C6" s="255" t="str">
        <f>IFERROR(__xludf.DUMMYFUNCTION("""COMPUTED_VALUE"""),"Talang Jimar")</f>
        <v>Talang Jimar</v>
      </c>
      <c r="D6" s="255" t="str">
        <f>IFERROR(__xludf.DUMMYFUNCTION("""COMPUTED_VALUE"""),"054/PHR72410/2025-S0")</f>
        <v>054/PHR72410/2025-S0</v>
      </c>
      <c r="E6" s="255">
        <f>IFERROR(__xludf.DUMMYFUNCTION("""COMPUTED_VALUE"""),42)</f>
        <v>42</v>
      </c>
      <c r="F6" s="255">
        <f>IFERROR(__xludf.DUMMYFUNCTION("""COMPUTED_VALUE"""),2.5)</f>
        <v>2.5</v>
      </c>
      <c r="G6" s="256">
        <f>IFERROR(__xludf.DUMMYFUNCTION("""COMPUTED_VALUE"""),45798)</f>
        <v>45798</v>
      </c>
      <c r="H6" s="256">
        <f>IFERROR(__xludf.DUMMYFUNCTION("""COMPUTED_VALUE"""),45839)</f>
        <v>45839</v>
      </c>
      <c r="I6" s="257">
        <f>IFERROR(__xludf.DUMMYFUNCTION("""COMPUTED_VALUE"""),32625000)</f>
        <v>32625000</v>
      </c>
      <c r="J6" s="257">
        <f>IFERROR(__xludf.DUMMYFUNCTION("""COMPUTED_VALUE"""),23855000)</f>
        <v>23855000</v>
      </c>
      <c r="K6" s="258">
        <f>IFERROR(__xludf.DUMMYFUNCTION("""COMPUTED_VALUE"""),45986)</f>
        <v>45986</v>
      </c>
      <c r="L6" s="259">
        <f>IFERROR(__xludf.DUMMYFUNCTION("""COMPUTED_VALUE"""),28454000)</f>
        <v>28454000</v>
      </c>
      <c r="M6" s="258">
        <f>IFERROR(__xludf.DUMMYFUNCTION("""COMPUTED_VALUE"""),45978)</f>
        <v>45978</v>
      </c>
      <c r="N6" s="259">
        <f>IFERROR(__xludf.DUMMYFUNCTION("""COMPUTED_VALUE"""),28454000)</f>
        <v>28454000</v>
      </c>
      <c r="O6" s="258">
        <f>IFERROR(__xludf.DUMMYFUNCTION("""COMPUTED_VALUE"""),45971)</f>
        <v>45971</v>
      </c>
      <c r="P6" s="259">
        <f>IFERROR(__xludf.DUMMYFUNCTION("""COMPUTED_VALUE"""),23855000)</f>
        <v>23855000</v>
      </c>
      <c r="Q6" s="260">
        <f>IFERROR(__xludf.DUMMYFUNCTION("""COMPUTED_VALUE"""),1192750)</f>
        <v>1192750</v>
      </c>
      <c r="R6" s="260">
        <f>IFERROR(__xludf.DUMMYFUNCTION("""COMPUTED_VALUE"""),22662250)</f>
        <v>22662250</v>
      </c>
      <c r="S6" s="261" t="str">
        <f>IFERROR(__xludf.DUMMYFUNCTION("""COMPUTED_VALUE"""),"Invoice")</f>
        <v>Invoice</v>
      </c>
      <c r="T6" s="261"/>
    </row>
    <row r="7" customHeight="1" spans="1:20">
      <c r="A7" s="255">
        <f>IFERROR(__xludf.DUMMYFUNCTION("""COMPUTED_VALUE"""),6)</f>
        <v>6</v>
      </c>
      <c r="B7" s="255" t="str">
        <f>IFERROR(__xludf.DUMMYFUNCTION("""COMPUTED_VALUE"""),"Survey Pemetaan, Desain Siteplan Lokasi Bor TMB-PG3 &amp; PG5")</f>
        <v>Survey Pemetaan, Desain Siteplan Lokasi Bor TMB-PG3 &amp; PG5</v>
      </c>
      <c r="C7" s="255" t="str">
        <f>IFERROR(__xludf.DUMMYFUNCTION("""COMPUTED_VALUE"""),"Tanjung Miring")</f>
        <v>Tanjung Miring</v>
      </c>
      <c r="D7" s="255" t="str">
        <f>IFERROR(__xludf.DUMMYFUNCTION("""COMPUTED_VALUE"""),"053/PHR72410/2025-S0")</f>
        <v>053/PHR72410/2025-S0</v>
      </c>
      <c r="E7" s="255">
        <f>IFERROR(__xludf.DUMMYFUNCTION("""COMPUTED_VALUE"""),42)</f>
        <v>42</v>
      </c>
      <c r="F7" s="255">
        <f>IFERROR(__xludf.DUMMYFUNCTION("""COMPUTED_VALUE"""),3.66)</f>
        <v>3.66</v>
      </c>
      <c r="G7" s="256">
        <f>IFERROR(__xludf.DUMMYFUNCTION("""COMPUTED_VALUE"""),45798)</f>
        <v>45798</v>
      </c>
      <c r="H7" s="256">
        <f>IFERROR(__xludf.DUMMYFUNCTION("""COMPUTED_VALUE"""),45839)</f>
        <v>45839</v>
      </c>
      <c r="I7" s="257">
        <f>IFERROR(__xludf.DUMMYFUNCTION("""COMPUTED_VALUE"""),52382000)</f>
        <v>52382000</v>
      </c>
      <c r="J7" s="257">
        <f>IFERROR(__xludf.DUMMYFUNCTION("""COMPUTED_VALUE"""),40009000)</f>
        <v>40009000</v>
      </c>
      <c r="K7" s="258">
        <f>IFERROR(__xludf.DUMMYFUNCTION("""COMPUTED_VALUE"""),45986)</f>
        <v>45986</v>
      </c>
      <c r="L7" s="259">
        <f>IFERROR(__xludf.DUMMYFUNCTION("""COMPUTED_VALUE"""),40009000)</f>
        <v>40009000</v>
      </c>
      <c r="M7" s="258">
        <f>IFERROR(__xludf.DUMMYFUNCTION("""COMPUTED_VALUE"""),45978)</f>
        <v>45978</v>
      </c>
      <c r="N7" s="259">
        <f>IFERROR(__xludf.DUMMYFUNCTION("""COMPUTED_VALUE"""),40009000)</f>
        <v>40009000</v>
      </c>
      <c r="O7" s="258">
        <f>IFERROR(__xludf.DUMMYFUNCTION("""COMPUTED_VALUE"""),46121)</f>
        <v>46121</v>
      </c>
      <c r="P7" s="259">
        <f>IFERROR(__xludf.DUMMYFUNCTION("""COMPUTED_VALUE"""),40009000)</f>
        <v>40009000</v>
      </c>
      <c r="Q7" s="260">
        <f>IFERROR(__xludf.DUMMYFUNCTION("""COMPUTED_VALUE"""),2000450)</f>
        <v>2000450</v>
      </c>
      <c r="R7" s="260">
        <f>IFERROR(__xludf.DUMMYFUNCTION("""COMPUTED_VALUE"""),38008550)</f>
        <v>38008550</v>
      </c>
      <c r="S7" s="261" t="str">
        <f>IFERROR(__xludf.DUMMYFUNCTION("""COMPUTED_VALUE"""),"Invoice")</f>
        <v>Invoice</v>
      </c>
      <c r="T7" s="261"/>
    </row>
    <row r="8" customHeight="1" spans="1:20">
      <c r="A8" s="255">
        <f>IFERROR(__xludf.DUMMYFUNCTION("""COMPUTED_VALUE"""),7)</f>
        <v>7</v>
      </c>
      <c r="B8" s="255" t="str">
        <f>IFERROR(__xludf.DUMMYFUNCTION("""COMPUTED_VALUE"""),"Survey Pemetaan, Desain Siteplan Lokasi Bor KRG-PB5")</f>
        <v>Survey Pemetaan, Desain Siteplan Lokasi Bor KRG-PB5</v>
      </c>
      <c r="C8" s="255" t="str">
        <f>IFERROR(__xludf.DUMMYFUNCTION("""COMPUTED_VALUE"""),"Karangan")</f>
        <v>Karangan</v>
      </c>
      <c r="D8" s="255" t="str">
        <f>IFERROR(__xludf.DUMMYFUNCTION("""COMPUTED_VALUE"""),"056/PHR72410/2025-S0")</f>
        <v>056/PHR72410/2025-S0</v>
      </c>
      <c r="E8" s="255">
        <f>IFERROR(__xludf.DUMMYFUNCTION("""COMPUTED_VALUE"""),42)</f>
        <v>42</v>
      </c>
      <c r="F8" s="255">
        <f>IFERROR(__xludf.DUMMYFUNCTION("""COMPUTED_VALUE"""),3.51)</f>
        <v>3.51</v>
      </c>
      <c r="G8" s="256">
        <f>IFERROR(__xludf.DUMMYFUNCTION("""COMPUTED_VALUE"""),45798)</f>
        <v>45798</v>
      </c>
      <c r="H8" s="256">
        <f>IFERROR(__xludf.DUMMYFUNCTION("""COMPUTED_VALUE"""),45839)</f>
        <v>45839</v>
      </c>
      <c r="I8" s="257">
        <f>IFERROR(__xludf.DUMMYFUNCTION("""COMPUTED_VALUE"""),39678000)</f>
        <v>39678000</v>
      </c>
      <c r="J8" s="257">
        <f>IFERROR(__xludf.DUMMYFUNCTION("""COMPUTED_VALUE"""),28041000)</f>
        <v>28041000</v>
      </c>
      <c r="K8" s="258">
        <f>IFERROR(__xludf.DUMMYFUNCTION("""COMPUTED_VALUE"""),45986)</f>
        <v>45986</v>
      </c>
      <c r="L8" s="259">
        <f>IFERROR(__xludf.DUMMYFUNCTION("""COMPUTED_VALUE"""),28041000)</f>
        <v>28041000</v>
      </c>
      <c r="M8" s="258">
        <f>IFERROR(__xludf.DUMMYFUNCTION("""COMPUTED_VALUE"""),45978)</f>
        <v>45978</v>
      </c>
      <c r="N8" s="259">
        <f>IFERROR(__xludf.DUMMYFUNCTION("""COMPUTED_VALUE"""),28041000)</f>
        <v>28041000</v>
      </c>
      <c r="O8" s="258">
        <f>IFERROR(__xludf.DUMMYFUNCTION("""COMPUTED_VALUE"""),46087)</f>
        <v>46087</v>
      </c>
      <c r="P8" s="259">
        <f>IFERROR(__xludf.DUMMYFUNCTION("""COMPUTED_VALUE"""),28041000)</f>
        <v>28041000</v>
      </c>
      <c r="Q8" s="260">
        <f>IFERROR(__xludf.DUMMYFUNCTION("""COMPUTED_VALUE"""),1402050)</f>
        <v>1402050</v>
      </c>
      <c r="R8" s="260">
        <f>IFERROR(__xludf.DUMMYFUNCTION("""COMPUTED_VALUE"""),26638950)</f>
        <v>26638950</v>
      </c>
      <c r="S8" s="261" t="str">
        <f>IFERROR(__xludf.DUMMYFUNCTION("""COMPUTED_VALUE"""),"Invoice")</f>
        <v>Invoice</v>
      </c>
      <c r="T8" s="261"/>
    </row>
    <row r="9" customHeight="1" spans="1:20">
      <c r="A9" s="255">
        <f>IFERROR(__xludf.DUMMYFUNCTION("""COMPUTED_VALUE"""),8)</f>
        <v>8</v>
      </c>
      <c r="B9" s="255" t="str">
        <f>IFERROR(__xludf.DUMMYFUNCTION("""COMPUTED_VALUE"""),"Survey Pemetaan, Desain Siteplan Lokasi Bor BKB-AR.007")</f>
        <v>Survey Pemetaan, Desain Siteplan Lokasi Bor BKB-AR.007</v>
      </c>
      <c r="C9" s="255" t="str">
        <f>IFERROR(__xludf.DUMMYFUNCTION("""COMPUTED_VALUE"""),"Benakat")</f>
        <v>Benakat</v>
      </c>
      <c r="D9" s="255" t="str">
        <f>IFERROR(__xludf.DUMMYFUNCTION("""COMPUTED_VALUE"""),"069/PHR72410/2025-S0")</f>
        <v>069/PHR72410/2025-S0</v>
      </c>
      <c r="E9" s="255">
        <f>IFERROR(__xludf.DUMMYFUNCTION("""COMPUTED_VALUE"""),42)</f>
        <v>42</v>
      </c>
      <c r="F9" s="255">
        <f>IFERROR(__xludf.DUMMYFUNCTION("""COMPUTED_VALUE"""),6.7)</f>
        <v>6.7</v>
      </c>
      <c r="G9" s="256">
        <f>IFERROR(__xludf.DUMMYFUNCTION("""COMPUTED_VALUE"""),45828)</f>
        <v>45828</v>
      </c>
      <c r="H9" s="256">
        <f>IFERROR(__xludf.DUMMYFUNCTION("""COMPUTED_VALUE"""),45869)</f>
        <v>45869</v>
      </c>
      <c r="I9" s="257">
        <f>IFERROR(__xludf.DUMMYFUNCTION("""COMPUTED_VALUE"""),68538000)</f>
        <v>68538000</v>
      </c>
      <c r="J9" s="257">
        <f>IFERROR(__xludf.DUMMYFUNCTION("""COMPUTED_VALUE"""),60734000)</f>
        <v>60734000</v>
      </c>
      <c r="K9" s="258">
        <f>IFERROR(__xludf.DUMMYFUNCTION("""COMPUTED_VALUE"""),45986)</f>
        <v>45986</v>
      </c>
      <c r="L9" s="259">
        <f>IFERROR(__xludf.DUMMYFUNCTION("""COMPUTED_VALUE"""),65082000)</f>
        <v>65082000</v>
      </c>
      <c r="M9" s="258">
        <f>IFERROR(__xludf.DUMMYFUNCTION("""COMPUTED_VALUE"""),45978)</f>
        <v>45978</v>
      </c>
      <c r="N9" s="259">
        <f>IFERROR(__xludf.DUMMYFUNCTION("""COMPUTED_VALUE"""),65082000)</f>
        <v>65082000</v>
      </c>
      <c r="O9" s="258">
        <f>IFERROR(__xludf.DUMMYFUNCTION("""COMPUTED_VALUE"""),46177)</f>
        <v>46177</v>
      </c>
      <c r="P9" s="259">
        <f>IFERROR(__xludf.DUMMYFUNCTION("""COMPUTED_VALUE"""),60734000)</f>
        <v>60734000</v>
      </c>
      <c r="Q9" s="260">
        <f>IFERROR(__xludf.DUMMYFUNCTION("""COMPUTED_VALUE"""),3036700)</f>
        <v>3036700</v>
      </c>
      <c r="R9" s="260">
        <f>IFERROR(__xludf.DUMMYFUNCTION("""COMPUTED_VALUE"""),57697300)</f>
        <v>57697300</v>
      </c>
      <c r="S9" s="261" t="str">
        <f>IFERROR(__xludf.DUMMYFUNCTION("""COMPUTED_VALUE"""),"Invoice")</f>
        <v>Invoice</v>
      </c>
      <c r="T9" s="261"/>
    </row>
    <row r="10" customHeight="1" spans="1:20">
      <c r="A10" s="255">
        <f>IFERROR(__xludf.DUMMYFUNCTION("""COMPUTED_VALUE"""),9)</f>
        <v>9</v>
      </c>
      <c r="B10" s="255" t="str">
        <f>IFERROR(__xludf.DUMMYFUNCTION("""COMPUTED_VALUE"""),"Survey Pemetaan, Desain Siteplan Lokasi Bor ABB-A4 REPOSISI")</f>
        <v>Survey Pemetaan, Desain Siteplan Lokasi Bor ABB-A4 REPOSISI</v>
      </c>
      <c r="C10" s="255" t="str">
        <f>IFERROR(__xludf.DUMMYFUNCTION("""COMPUTED_VALUE"""),"ABAB")</f>
        <v>ABAB</v>
      </c>
      <c r="D10" s="255" t="str">
        <f>IFERROR(__xludf.DUMMYFUNCTION("""COMPUTED_VALUE"""),"070/PHR72410/2025-S0")</f>
        <v>070/PHR72410/2025-S0</v>
      </c>
      <c r="E10" s="255">
        <f>IFERROR(__xludf.DUMMYFUNCTION("""COMPUTED_VALUE"""),42)</f>
        <v>42</v>
      </c>
      <c r="F10" s="255">
        <f>IFERROR(__xludf.DUMMYFUNCTION("""COMPUTED_VALUE"""),9.96)</f>
        <v>9.96</v>
      </c>
      <c r="G10" s="256">
        <f>IFERROR(__xludf.DUMMYFUNCTION("""COMPUTED_VALUE"""),45828)</f>
        <v>45828</v>
      </c>
      <c r="H10" s="256">
        <f>IFERROR(__xludf.DUMMYFUNCTION("""COMPUTED_VALUE"""),45869)</f>
        <v>45869</v>
      </c>
      <c r="I10" s="257">
        <f>IFERROR(__xludf.DUMMYFUNCTION("""COMPUTED_VALUE"""),91867000)</f>
        <v>91867000</v>
      </c>
      <c r="J10" s="257">
        <f>IFERROR(__xludf.DUMMYFUNCTION("""COMPUTED_VALUE"""),91737000)</f>
        <v>91737000</v>
      </c>
      <c r="K10" s="258">
        <f>IFERROR(__xludf.DUMMYFUNCTION("""COMPUTED_VALUE"""),46016)</f>
        <v>46016</v>
      </c>
      <c r="L10" s="259">
        <f>IFERROR(__xludf.DUMMYFUNCTION("""COMPUTED_VALUE"""),91494000)</f>
        <v>91494000</v>
      </c>
      <c r="M10" s="258">
        <f>IFERROR(__xludf.DUMMYFUNCTION("""COMPUTED_VALUE"""),46009)</f>
        <v>46009</v>
      </c>
      <c r="N10" s="259">
        <f>IFERROR(__xludf.DUMMYFUNCTION("""COMPUTED_VALUE"""),91494000)</f>
        <v>91494000</v>
      </c>
      <c r="O10" s="255"/>
      <c r="P10" s="259">
        <f>IFERROR(__xludf.DUMMYFUNCTION("""COMPUTED_VALUE"""),91737000)</f>
        <v>91737000</v>
      </c>
      <c r="Q10" s="255"/>
      <c r="R10" s="260">
        <f>IFERROR(__xludf.DUMMYFUNCTION("""COMPUTED_VALUE"""),91737000)</f>
        <v>91737000</v>
      </c>
      <c r="S10" s="261" t="str">
        <f>IFERROR(__xludf.DUMMYFUNCTION("""COMPUTED_VALUE"""),"Invoice")</f>
        <v>Invoice</v>
      </c>
      <c r="T10" s="261"/>
    </row>
    <row r="11" customHeight="1" spans="1:20">
      <c r="A11" s="255">
        <f>IFERROR(__xludf.DUMMYFUNCTION("""COMPUTED_VALUE"""),10)</f>
        <v>10</v>
      </c>
      <c r="B11" s="255" t="str">
        <f>IFERROR(__xludf.DUMMYFUNCTION("""COMPUTED_VALUE"""),"Survey Pemetaan, Desain Siteplan Lokasi Bor GNK-PD48, PD91")</f>
        <v>Survey Pemetaan, Desain Siteplan Lokasi Bor GNK-PD48, PD91</v>
      </c>
      <c r="C11" s="255" t="str">
        <f>IFERROR(__xludf.DUMMYFUNCTION("""COMPUTED_VALUE"""),"Gunung Kemala")</f>
        <v>Gunung Kemala</v>
      </c>
      <c r="D11" s="255" t="str">
        <f>IFERROR(__xludf.DUMMYFUNCTION("""COMPUTED_VALUE"""),"068/PHR72410/2025-S0")</f>
        <v>068/PHR72410/2025-S0</v>
      </c>
      <c r="E11" s="255">
        <f>IFERROR(__xludf.DUMMYFUNCTION("""COMPUTED_VALUE"""),42)</f>
        <v>42</v>
      </c>
      <c r="F11" s="255">
        <f>IFERROR(__xludf.DUMMYFUNCTION("""COMPUTED_VALUE"""),5.78)</f>
        <v>5.78</v>
      </c>
      <c r="G11" s="256">
        <f>IFERROR(__xludf.DUMMYFUNCTION("""COMPUTED_VALUE"""),45828)</f>
        <v>45828</v>
      </c>
      <c r="H11" s="256">
        <f>IFERROR(__xludf.DUMMYFUNCTION("""COMPUTED_VALUE"""),45869)</f>
        <v>45869</v>
      </c>
      <c r="I11" s="257">
        <f>IFERROR(__xludf.DUMMYFUNCTION("""COMPUTED_VALUE"""),55613000)</f>
        <v>55613000</v>
      </c>
      <c r="J11" s="257">
        <f>IFERROR(__xludf.DUMMYFUNCTION("""COMPUTED_VALUE"""),54335000)</f>
        <v>54335000</v>
      </c>
      <c r="K11" s="258">
        <f>IFERROR(__xludf.DUMMYFUNCTION("""COMPUTED_VALUE"""),45986)</f>
        <v>45986</v>
      </c>
      <c r="L11" s="259">
        <f>IFERROR(__xludf.DUMMYFUNCTION("""COMPUTED_VALUE"""),54335000)</f>
        <v>54335000</v>
      </c>
      <c r="M11" s="258">
        <f>IFERROR(__xludf.DUMMYFUNCTION("""COMPUTED_VALUE"""),45978)</f>
        <v>45978</v>
      </c>
      <c r="N11" s="259">
        <f>IFERROR(__xludf.DUMMYFUNCTION("""COMPUTED_VALUE"""),54335000)</f>
        <v>54335000</v>
      </c>
      <c r="O11" s="258">
        <f>IFERROR(__xludf.DUMMYFUNCTION("""COMPUTED_VALUE"""),46177)</f>
        <v>46177</v>
      </c>
      <c r="P11" s="259">
        <f>IFERROR(__xludf.DUMMYFUNCTION("""COMPUTED_VALUE"""),54335000)</f>
        <v>54335000</v>
      </c>
      <c r="Q11" s="260">
        <f>IFERROR(__xludf.DUMMYFUNCTION("""COMPUTED_VALUE"""),2716750)</f>
        <v>2716750</v>
      </c>
      <c r="R11" s="260">
        <f>IFERROR(__xludf.DUMMYFUNCTION("""COMPUTED_VALUE"""),51618250)</f>
        <v>51618250</v>
      </c>
      <c r="S11" s="261" t="str">
        <f>IFERROR(__xludf.DUMMYFUNCTION("""COMPUTED_VALUE"""),"Invoice")</f>
        <v>Invoice</v>
      </c>
      <c r="T11" s="261"/>
    </row>
    <row r="12" customHeight="1" spans="1:20">
      <c r="A12" s="255">
        <f>IFERROR(__xludf.DUMMYFUNCTION("""COMPUTED_VALUE"""),11)</f>
        <v>11</v>
      </c>
      <c r="B12" s="255" t="str">
        <f>IFERROR(__xludf.DUMMYFUNCTION("""COMPUTED_VALUE"""),"Survey Pemetaan, Desain Siteplan Lokasi Bor BKB-AR.001")</f>
        <v>Survey Pemetaan, Desain Siteplan Lokasi Bor BKB-AR.001</v>
      </c>
      <c r="C12" s="255" t="str">
        <f>IFERROR(__xludf.DUMMYFUNCTION("""COMPUTED_VALUE"""),"Benakat")</f>
        <v>Benakat</v>
      </c>
      <c r="D12" s="255" t="str">
        <f>IFERROR(__xludf.DUMMYFUNCTION("""COMPUTED_VALUE"""),"72/PHR724110/2025-S0")</f>
        <v>72/PHR724110/2025-S0</v>
      </c>
      <c r="E12" s="255">
        <f>IFERROR(__xludf.DUMMYFUNCTION("""COMPUTED_VALUE"""),42)</f>
        <v>42</v>
      </c>
      <c r="F12" s="255">
        <f>IFERROR(__xludf.DUMMYFUNCTION("""COMPUTED_VALUE"""),5.55)</f>
        <v>5.55</v>
      </c>
      <c r="G12" s="256">
        <f>IFERROR(__xludf.DUMMYFUNCTION("""COMPUTED_VALUE"""),45828)</f>
        <v>45828</v>
      </c>
      <c r="H12" s="256">
        <f>IFERROR(__xludf.DUMMYFUNCTION("""COMPUTED_VALUE"""),45869)</f>
        <v>45869</v>
      </c>
      <c r="I12" s="257">
        <f>IFERROR(__xludf.DUMMYFUNCTION("""COMPUTED_VALUE"""),56835000)</f>
        <v>56835000</v>
      </c>
      <c r="J12" s="257">
        <f>IFERROR(__xludf.DUMMYFUNCTION("""COMPUTED_VALUE"""),55095000)</f>
        <v>55095000</v>
      </c>
      <c r="K12" s="258">
        <f>IFERROR(__xludf.DUMMYFUNCTION("""COMPUTED_VALUE"""),45986)</f>
        <v>45986</v>
      </c>
      <c r="L12" s="259">
        <f>IFERROR(__xludf.DUMMYFUNCTION("""COMPUTED_VALUE"""),55255000)</f>
        <v>55255000</v>
      </c>
      <c r="M12" s="258">
        <f>IFERROR(__xludf.DUMMYFUNCTION("""COMPUTED_VALUE"""),45978)</f>
        <v>45978</v>
      </c>
      <c r="N12" s="259">
        <f>IFERROR(__xludf.DUMMYFUNCTION("""COMPUTED_VALUE"""),55255000)</f>
        <v>55255000</v>
      </c>
      <c r="O12" s="258">
        <f>IFERROR(__xludf.DUMMYFUNCTION("""COMPUTED_VALUE"""),46210)</f>
        <v>46210</v>
      </c>
      <c r="P12" s="259">
        <f>IFERROR(__xludf.DUMMYFUNCTION("""COMPUTED_VALUE"""),55095000)</f>
        <v>55095000</v>
      </c>
      <c r="Q12" s="260">
        <f>IFERROR(__xludf.DUMMYFUNCTION("""COMPUTED_VALUE"""),2754750)</f>
        <v>2754750</v>
      </c>
      <c r="R12" s="260">
        <f>IFERROR(__xludf.DUMMYFUNCTION("""COMPUTED_VALUE"""),52340250)</f>
        <v>52340250</v>
      </c>
      <c r="S12" s="261" t="str">
        <f>IFERROR(__xludf.DUMMYFUNCTION("""COMPUTED_VALUE"""),"Invoice")</f>
        <v>Invoice</v>
      </c>
      <c r="T12" s="261"/>
    </row>
    <row r="13" customHeight="1" spans="1:20">
      <c r="A13" s="255">
        <f>IFERROR(__xludf.DUMMYFUNCTION("""COMPUTED_VALUE"""),12)</f>
        <v>12</v>
      </c>
      <c r="B13" s="255" t="str">
        <f>IFERROR(__xludf.DUMMYFUNCTION("""COMPUTED_VALUE"""),"Survey Pemetaan, Desain Siteplan Lokasi Bor GNK-PD65, 66, 68, 79, 80")</f>
        <v>Survey Pemetaan, Desain Siteplan Lokasi Bor GNK-PD65, 66, 68, 79, 80</v>
      </c>
      <c r="C13" s="255" t="str">
        <f>IFERROR(__xludf.DUMMYFUNCTION("""COMPUTED_VALUE"""),"Gunung Kemala")</f>
        <v>Gunung Kemala</v>
      </c>
      <c r="D13" s="255" t="str">
        <f>IFERROR(__xludf.DUMMYFUNCTION("""COMPUTED_VALUE"""),"73/PHR724110/2025-S0")</f>
        <v>73/PHR724110/2025-S0</v>
      </c>
      <c r="E13" s="255">
        <f>IFERROR(__xludf.DUMMYFUNCTION("""COMPUTED_VALUE"""),42)</f>
        <v>42</v>
      </c>
      <c r="F13" s="255">
        <f>IFERROR(__xludf.DUMMYFUNCTION("""COMPUTED_VALUE"""),12.12)</f>
        <v>12.12</v>
      </c>
      <c r="G13" s="256">
        <f>IFERROR(__xludf.DUMMYFUNCTION("""COMPUTED_VALUE"""),45828)</f>
        <v>45828</v>
      </c>
      <c r="H13" s="256">
        <f>IFERROR(__xludf.DUMMYFUNCTION("""COMPUTED_VALUE"""),45869)</f>
        <v>45869</v>
      </c>
      <c r="I13" s="257">
        <f>IFERROR(__xludf.DUMMYFUNCTION("""COMPUTED_VALUE"""),104426000)</f>
        <v>104426000</v>
      </c>
      <c r="J13" s="257">
        <f>IFERROR(__xludf.DUMMYFUNCTION("""COMPUTED_VALUE"""),93075000)</f>
        <v>93075000</v>
      </c>
      <c r="K13" s="255"/>
      <c r="L13" s="255"/>
      <c r="M13" s="255"/>
      <c r="N13" s="259">
        <f>IFERROR(__xludf.DUMMYFUNCTION("""COMPUTED_VALUE"""),93075000)</f>
        <v>93075000</v>
      </c>
      <c r="O13" s="258">
        <f>IFERROR(__xludf.DUMMYFUNCTION("""COMPUTED_VALUE"""),46241)</f>
        <v>46241</v>
      </c>
      <c r="P13" s="259">
        <f>IFERROR(__xludf.DUMMYFUNCTION("""COMPUTED_VALUE"""),93075000)</f>
        <v>93075000</v>
      </c>
      <c r="Q13" s="260">
        <f>IFERROR(__xludf.DUMMYFUNCTION("""COMPUTED_VALUE"""),4653750)</f>
        <v>4653750</v>
      </c>
      <c r="R13" s="260">
        <f>IFERROR(__xludf.DUMMYFUNCTION("""COMPUTED_VALUE"""),88421250)</f>
        <v>88421250</v>
      </c>
      <c r="S13" s="261" t="str">
        <f>IFERROR(__xludf.DUMMYFUNCTION("""COMPUTED_VALUE"""),"Invoice")</f>
        <v>Invoice</v>
      </c>
      <c r="T13" s="261"/>
    </row>
    <row r="14" customHeight="1" spans="1:20">
      <c r="A14" s="255">
        <f>IFERROR(__xludf.DUMMYFUNCTION("""COMPUTED_VALUE"""),13)</f>
        <v>13</v>
      </c>
      <c r="B14" s="255" t="str">
        <f>IFERROR(__xludf.DUMMYFUNCTION("""COMPUTED_VALUE"""),"Survey Pemetaan, Desain Siteplan Lokasi Bor BN-B21")</f>
        <v>Survey Pemetaan, Desain Siteplan Lokasi Bor BN-B21</v>
      </c>
      <c r="C14" s="255" t="str">
        <f>IFERROR(__xludf.DUMMYFUNCTION("""COMPUTED_VALUE"""),"Bentayan")</f>
        <v>Bentayan</v>
      </c>
      <c r="D14" s="255" t="str">
        <f>IFERROR(__xludf.DUMMYFUNCTION("""COMPUTED_VALUE"""),"076/PHR72410/2025-S0")</f>
        <v>076/PHR72410/2025-S0</v>
      </c>
      <c r="E14" s="255">
        <f>IFERROR(__xludf.DUMMYFUNCTION("""COMPUTED_VALUE"""),42)</f>
        <v>42</v>
      </c>
      <c r="F14" s="255">
        <f>IFERROR(__xludf.DUMMYFUNCTION("""COMPUTED_VALUE"""),8.15)</f>
        <v>8.15</v>
      </c>
      <c r="G14" s="256">
        <f>IFERROR(__xludf.DUMMYFUNCTION("""COMPUTED_VALUE"""),45838)</f>
        <v>45838</v>
      </c>
      <c r="H14" s="256">
        <f>IFERROR(__xludf.DUMMYFUNCTION("""COMPUTED_VALUE"""),45879)</f>
        <v>45879</v>
      </c>
      <c r="I14" s="257">
        <f>IFERROR(__xludf.DUMMYFUNCTION("""COMPUTED_VALUE"""),90747000)</f>
        <v>90747000</v>
      </c>
      <c r="J14" s="257">
        <f>IFERROR(__xludf.DUMMYFUNCTION("""COMPUTED_VALUE"""),25765000)</f>
        <v>25765000</v>
      </c>
      <c r="K14" s="258">
        <f>IFERROR(__xludf.DUMMYFUNCTION("""COMPUTED_VALUE"""),46016)</f>
        <v>46016</v>
      </c>
      <c r="L14" s="259">
        <f>IFERROR(__xludf.DUMMYFUNCTION("""COMPUTED_VALUE"""),25765000)</f>
        <v>25765000</v>
      </c>
      <c r="M14" s="258">
        <f>IFERROR(__xludf.DUMMYFUNCTION("""COMPUTED_VALUE"""),46009)</f>
        <v>46009</v>
      </c>
      <c r="N14" s="259">
        <f>IFERROR(__xludf.DUMMYFUNCTION("""COMPUTED_VALUE"""),25765000)</f>
        <v>25765000</v>
      </c>
      <c r="O14" s="258">
        <f>IFERROR(__xludf.DUMMYFUNCTION("""COMPUTED_VALUE"""),46087)</f>
        <v>46087</v>
      </c>
      <c r="P14" s="259">
        <f>IFERROR(__xludf.DUMMYFUNCTION("""COMPUTED_VALUE"""),25765000)</f>
        <v>25765000</v>
      </c>
      <c r="Q14" s="260">
        <f>IFERROR(__xludf.DUMMYFUNCTION("""COMPUTED_VALUE"""),1288250)</f>
        <v>1288250</v>
      </c>
      <c r="R14" s="260">
        <f>IFERROR(__xludf.DUMMYFUNCTION("""COMPUTED_VALUE"""),24476750)</f>
        <v>24476750</v>
      </c>
      <c r="S14" s="261" t="str">
        <f>IFERROR(__xludf.DUMMYFUNCTION("""COMPUTED_VALUE"""),"Invoice")</f>
        <v>Invoice</v>
      </c>
      <c r="T14" s="261"/>
    </row>
    <row r="15" customHeight="1" spans="1:20">
      <c r="A15" s="255">
        <f>IFERROR(__xludf.DUMMYFUNCTION("""COMPUTED_VALUE"""),14)</f>
        <v>14</v>
      </c>
      <c r="B15" s="255" t="str">
        <f>IFERROR(__xludf.DUMMYFUNCTION("""COMPUTED_VALUE"""),"Survey Pemetaan, Desain Siteplan Lokasi Bor BN-B30")</f>
        <v>Survey Pemetaan, Desain Siteplan Lokasi Bor BN-B30</v>
      </c>
      <c r="C15" s="255" t="str">
        <f>IFERROR(__xludf.DUMMYFUNCTION("""COMPUTED_VALUE"""),"Bentayan")</f>
        <v>Bentayan</v>
      </c>
      <c r="D15" s="255" t="str">
        <f>IFERROR(__xludf.DUMMYFUNCTION("""COMPUTED_VALUE"""),"077/PHR72410/2025-S0")</f>
        <v>077/PHR72410/2025-S0</v>
      </c>
      <c r="E15" s="255">
        <f>IFERROR(__xludf.DUMMYFUNCTION("""COMPUTED_VALUE"""),42)</f>
        <v>42</v>
      </c>
      <c r="F15" s="255">
        <f>IFERROR(__xludf.DUMMYFUNCTION("""COMPUTED_VALUE"""),7.25)</f>
        <v>7.25</v>
      </c>
      <c r="G15" s="256">
        <f>IFERROR(__xludf.DUMMYFUNCTION("""COMPUTED_VALUE"""),45838)</f>
        <v>45838</v>
      </c>
      <c r="H15" s="256">
        <f>IFERROR(__xludf.DUMMYFUNCTION("""COMPUTED_VALUE"""),45879)</f>
        <v>45879</v>
      </c>
      <c r="I15" s="257">
        <f>IFERROR(__xludf.DUMMYFUNCTION("""COMPUTED_VALUE"""),89720000)</f>
        <v>89720000</v>
      </c>
      <c r="J15" s="257">
        <f>IFERROR(__xludf.DUMMYFUNCTION("""COMPUTED_VALUE"""),27867000)</f>
        <v>27867000</v>
      </c>
      <c r="K15" s="258">
        <f>IFERROR(__xludf.DUMMYFUNCTION("""COMPUTED_VALUE"""),46016)</f>
        <v>46016</v>
      </c>
      <c r="L15" s="259">
        <f>IFERROR(__xludf.DUMMYFUNCTION("""COMPUTED_VALUE"""),27867000)</f>
        <v>27867000</v>
      </c>
      <c r="M15" s="258">
        <f>IFERROR(__xludf.DUMMYFUNCTION("""COMPUTED_VALUE"""),46009)</f>
        <v>46009</v>
      </c>
      <c r="N15" s="259">
        <f>IFERROR(__xludf.DUMMYFUNCTION("""COMPUTED_VALUE"""),27867000)</f>
        <v>27867000</v>
      </c>
      <c r="O15" s="258">
        <f>IFERROR(__xludf.DUMMYFUNCTION("""COMPUTED_VALUE"""),46241)</f>
        <v>46241</v>
      </c>
      <c r="P15" s="259">
        <f>IFERROR(__xludf.DUMMYFUNCTION("""COMPUTED_VALUE"""),27867000)</f>
        <v>27867000</v>
      </c>
      <c r="Q15" s="255"/>
      <c r="R15" s="260">
        <f>IFERROR(__xludf.DUMMYFUNCTION("""COMPUTED_VALUE"""),27867000)</f>
        <v>27867000</v>
      </c>
      <c r="S15" s="261" t="str">
        <f>IFERROR(__xludf.DUMMYFUNCTION("""COMPUTED_VALUE"""),"Invoice")</f>
        <v>Invoice</v>
      </c>
      <c r="T15" s="261"/>
    </row>
    <row r="16" customHeight="1" spans="1:20">
      <c r="A16" s="255">
        <f>IFERROR(__xludf.DUMMYFUNCTION("""COMPUTED_VALUE"""),15)</f>
        <v>15</v>
      </c>
      <c r="B16" s="255" t="str">
        <f>IFERROR(__xludf.DUMMYFUNCTION("""COMPUTED_VALUE"""),"Survey Pemetaan, Desain Siteplan Lokasi Bor GNK-PD89")</f>
        <v>Survey Pemetaan, Desain Siteplan Lokasi Bor GNK-PD89</v>
      </c>
      <c r="C16" s="255" t="str">
        <f>IFERROR(__xludf.DUMMYFUNCTION("""COMPUTED_VALUE"""),"Gunung Kemala")</f>
        <v>Gunung Kemala</v>
      </c>
      <c r="D16" s="255" t="str">
        <f>IFERROR(__xludf.DUMMYFUNCTION("""COMPUTED_VALUE"""),"078/PHR72410/2025-S0")</f>
        <v>078/PHR72410/2025-S0</v>
      </c>
      <c r="E16" s="255">
        <f>IFERROR(__xludf.DUMMYFUNCTION("""COMPUTED_VALUE"""),42)</f>
        <v>42</v>
      </c>
      <c r="F16" s="255">
        <f>IFERROR(__xludf.DUMMYFUNCTION("""COMPUTED_VALUE"""),3.44)</f>
        <v>3.44</v>
      </c>
      <c r="G16" s="256">
        <f>IFERROR(__xludf.DUMMYFUNCTION("""COMPUTED_VALUE"""),45838)</f>
        <v>45838</v>
      </c>
      <c r="H16" s="256">
        <f>IFERROR(__xludf.DUMMYFUNCTION("""COMPUTED_VALUE"""),45879)</f>
        <v>45879</v>
      </c>
      <c r="I16" s="257">
        <f>IFERROR(__xludf.DUMMYFUNCTION("""COMPUTED_VALUE"""),35144000)</f>
        <v>35144000</v>
      </c>
      <c r="J16" s="257">
        <f>IFERROR(__xludf.DUMMYFUNCTION("""COMPUTED_VALUE"""),29521000)</f>
        <v>29521000</v>
      </c>
      <c r="K16" s="255"/>
      <c r="L16" s="255"/>
      <c r="M16" s="255"/>
      <c r="N16" s="259">
        <f>IFERROR(__xludf.DUMMYFUNCTION("""COMPUTED_VALUE"""),29521000)</f>
        <v>29521000</v>
      </c>
      <c r="O16" s="255"/>
      <c r="P16" s="255"/>
      <c r="Q16" s="255"/>
      <c r="R16" s="260">
        <f>IFERROR(__xludf.DUMMYFUNCTION("""COMPUTED_VALUE"""),0)</f>
        <v>0</v>
      </c>
      <c r="S16" s="261" t="str">
        <f>IFERROR(__xludf.DUMMYFUNCTION("""COMPUTED_VALUE"""),"Belum Invoice")</f>
        <v>Belum Invoice</v>
      </c>
      <c r="T16" s="261"/>
    </row>
    <row r="17" customHeight="1" spans="1:20">
      <c r="A17" s="255">
        <f>IFERROR(__xludf.DUMMYFUNCTION("""COMPUTED_VALUE"""),16)</f>
        <v>16</v>
      </c>
      <c r="B17" s="255" t="str">
        <f>IFERROR(__xludf.DUMMYFUNCTION("""COMPUTED_VALUE"""),"Survey Pemetaan, Desain Siteplan Lokasi Bor PMN-K, Prabumulih Field")</f>
        <v>Survey Pemetaan, Desain Siteplan Lokasi Bor PMN-K, Prabumulih Field</v>
      </c>
      <c r="C17" s="255" t="str">
        <f>IFERROR(__xludf.DUMMYFUNCTION("""COMPUTED_VALUE"""),"Prabumenang")</f>
        <v>Prabumenang</v>
      </c>
      <c r="D17" s="255" t="str">
        <f>IFERROR(__xludf.DUMMYFUNCTION("""COMPUTED_VALUE"""),"075PHR72410/2025-S5")</f>
        <v>075PHR72410/2025-S5</v>
      </c>
      <c r="E17" s="255">
        <f>IFERROR(__xludf.DUMMYFUNCTION("""COMPUTED_VALUE"""),42)</f>
        <v>42</v>
      </c>
      <c r="F17" s="255">
        <f>IFERROR(__xludf.DUMMYFUNCTION("""COMPUTED_VALUE"""),8.06)</f>
        <v>8.06</v>
      </c>
      <c r="G17" s="256">
        <f>IFERROR(__xludf.DUMMYFUNCTION("""COMPUTED_VALUE"""),45838)</f>
        <v>45838</v>
      </c>
      <c r="H17" s="256">
        <f>IFERROR(__xludf.DUMMYFUNCTION("""COMPUTED_VALUE"""),45879)</f>
        <v>45879</v>
      </c>
      <c r="I17" s="257">
        <f>IFERROR(__xludf.DUMMYFUNCTION("""COMPUTED_VALUE"""),66709000)</f>
        <v>66709000</v>
      </c>
      <c r="J17" s="257">
        <f>IFERROR(__xludf.DUMMYFUNCTION("""COMPUTED_VALUE"""),62833000)</f>
        <v>62833000</v>
      </c>
      <c r="K17" s="258">
        <f>IFERROR(__xludf.DUMMYFUNCTION("""COMPUTED_VALUE"""),45986)</f>
        <v>45986</v>
      </c>
      <c r="L17" s="259">
        <f>IFERROR(__xludf.DUMMYFUNCTION("""COMPUTED_VALUE"""),64554000)</f>
        <v>64554000</v>
      </c>
      <c r="M17" s="258">
        <f>IFERROR(__xludf.DUMMYFUNCTION("""COMPUTED_VALUE"""),45978)</f>
        <v>45978</v>
      </c>
      <c r="N17" s="259">
        <f>IFERROR(__xludf.DUMMYFUNCTION("""COMPUTED_VALUE"""),64554000)</f>
        <v>64554000</v>
      </c>
      <c r="O17" s="258">
        <f>IFERROR(__xludf.DUMMYFUNCTION("""COMPUTED_VALUE"""),46087)</f>
        <v>46087</v>
      </c>
      <c r="P17" s="259">
        <f>IFERROR(__xludf.DUMMYFUNCTION("""COMPUTED_VALUE"""),62833000)</f>
        <v>62833000</v>
      </c>
      <c r="Q17" s="260">
        <f>IFERROR(__xludf.DUMMYFUNCTION("""COMPUTED_VALUE"""),3141650)</f>
        <v>3141650</v>
      </c>
      <c r="R17" s="260">
        <f>IFERROR(__xludf.DUMMYFUNCTION("""COMPUTED_VALUE"""),59691350)</f>
        <v>59691350</v>
      </c>
      <c r="S17" s="261" t="str">
        <f>IFERROR(__xludf.DUMMYFUNCTION("""COMPUTED_VALUE"""),"Invoice")</f>
        <v>Invoice</v>
      </c>
      <c r="T17" s="261"/>
    </row>
    <row r="18" customHeight="1" spans="1:20">
      <c r="A18" s="255">
        <f>IFERROR(__xludf.DUMMYFUNCTION("""COMPUTED_VALUE"""),17)</f>
        <v>17</v>
      </c>
      <c r="B18" s="255" t="str">
        <f>IFERROR(__xludf.DUMMYFUNCTION("""COMPUTED_VALUE"""),"Survey Topography Fasilitas Produksi Flowline PMN-K, Prabumulih Field")</f>
        <v>Survey Topography Fasilitas Produksi Flowline PMN-K, Prabumulih Field</v>
      </c>
      <c r="C18" s="255" t="str">
        <f>IFERROR(__xludf.DUMMYFUNCTION("""COMPUTED_VALUE"""),"Prabumenang")</f>
        <v>Prabumenang</v>
      </c>
      <c r="D18" s="255" t="str">
        <f>IFERROR(__xludf.DUMMYFUNCTION("""COMPUTED_VALUE"""),"063/PHR72410/2025-S0")</f>
        <v>063/PHR72410/2025-S0</v>
      </c>
      <c r="E18" s="255">
        <f>IFERROR(__xludf.DUMMYFUNCTION("""COMPUTED_VALUE"""),61)</f>
        <v>61</v>
      </c>
      <c r="F18" s="255">
        <f>IFERROR(__xludf.DUMMYFUNCTION("""COMPUTED_VALUE"""),4.6)</f>
        <v>4.6</v>
      </c>
      <c r="G18" s="256">
        <f>IFERROR(__xludf.DUMMYFUNCTION("""COMPUTED_VALUE"""),45831)</f>
        <v>45831</v>
      </c>
      <c r="H18" s="256">
        <f>IFERROR(__xludf.DUMMYFUNCTION("""COMPUTED_VALUE"""),45891)</f>
        <v>45891</v>
      </c>
      <c r="I18" s="257">
        <f>IFERROR(__xludf.DUMMYFUNCTION("""COMPUTED_VALUE"""),79564000)</f>
        <v>79564000</v>
      </c>
      <c r="J18" s="257">
        <f>IFERROR(__xludf.DUMMYFUNCTION("""COMPUTED_VALUE"""),76832000)</f>
        <v>76832000</v>
      </c>
      <c r="K18" s="258">
        <f>IFERROR(__xludf.DUMMYFUNCTION("""COMPUTED_VALUE"""),46106)</f>
        <v>46106</v>
      </c>
      <c r="L18" s="259">
        <f>IFERROR(__xludf.DUMMYFUNCTION("""COMPUTED_VALUE"""),76832000)</f>
        <v>76832000</v>
      </c>
      <c r="M18" s="258">
        <f>IFERROR(__xludf.DUMMYFUNCTION("""COMPUTED_VALUE"""),46077)</f>
        <v>46077</v>
      </c>
      <c r="N18" s="259">
        <f>IFERROR(__xludf.DUMMYFUNCTION("""COMPUTED_VALUE"""),76832000)</f>
        <v>76832000</v>
      </c>
      <c r="O18" s="255"/>
      <c r="P18" s="255"/>
      <c r="Q18" s="255"/>
      <c r="R18" s="260">
        <f>IFERROR(__xludf.DUMMYFUNCTION("""COMPUTED_VALUE"""),0)</f>
        <v>0</v>
      </c>
      <c r="S18" s="261" t="str">
        <f>IFERROR(__xludf.DUMMYFUNCTION("""COMPUTED_VALUE"""),"Belum Invoice")</f>
        <v>Belum Invoice</v>
      </c>
      <c r="T18" s="261"/>
    </row>
    <row r="19" customHeight="1" spans="1:20">
      <c r="A19" s="255">
        <f>IFERROR(__xludf.DUMMYFUNCTION("""COMPUTED_VALUE"""),18)</f>
        <v>18</v>
      </c>
      <c r="B19" s="255" t="str">
        <f>IFERROR(__xludf.DUMMYFUNCTION("""COMPUTED_VALUE"""),"Survey Topography Fasilitas Produksi Flowline LBK-INF12, Prabumulih Field")</f>
        <v>Survey Topography Fasilitas Produksi Flowline LBK-INF12, Prabumulih Field</v>
      </c>
      <c r="C19" s="255" t="str">
        <f>IFERROR(__xludf.DUMMYFUNCTION("""COMPUTED_VALUE"""),"Lembak")</f>
        <v>Lembak</v>
      </c>
      <c r="D19" s="255" t="str">
        <f>IFERROR(__xludf.DUMMYFUNCTION("""COMPUTED_VALUE"""),"064/PHR72410/2025-S0")</f>
        <v>064/PHR72410/2025-S0</v>
      </c>
      <c r="E19" s="255">
        <f>IFERROR(__xludf.DUMMYFUNCTION("""COMPUTED_VALUE"""),61)</f>
        <v>61</v>
      </c>
      <c r="F19" s="255">
        <f>IFERROR(__xludf.DUMMYFUNCTION("""COMPUTED_VALUE"""),6.06)</f>
        <v>6.06</v>
      </c>
      <c r="G19" s="256">
        <f>IFERROR(__xludf.DUMMYFUNCTION("""COMPUTED_VALUE"""),45831)</f>
        <v>45831</v>
      </c>
      <c r="H19" s="256">
        <f>IFERROR(__xludf.DUMMYFUNCTION("""COMPUTED_VALUE"""),45891)</f>
        <v>45891</v>
      </c>
      <c r="I19" s="257">
        <f>IFERROR(__xludf.DUMMYFUNCTION("""COMPUTED_VALUE"""),108157000)</f>
        <v>108157000</v>
      </c>
      <c r="J19" s="257">
        <f>IFERROR(__xludf.DUMMYFUNCTION("""COMPUTED_VALUE"""),106055000)</f>
        <v>106055000</v>
      </c>
      <c r="K19" s="258">
        <f>IFERROR(__xludf.DUMMYFUNCTION("""COMPUTED_VALUE"""),46106)</f>
        <v>46106</v>
      </c>
      <c r="L19" s="259">
        <f>IFERROR(__xludf.DUMMYFUNCTION("""COMPUTED_VALUE"""),106055000)</f>
        <v>106055000</v>
      </c>
      <c r="M19" s="258">
        <f>IFERROR(__xludf.DUMMYFUNCTION("""COMPUTED_VALUE"""),46077)</f>
        <v>46077</v>
      </c>
      <c r="N19" s="259">
        <f>IFERROR(__xludf.DUMMYFUNCTION("""COMPUTED_VALUE"""),106055000)</f>
        <v>106055000</v>
      </c>
      <c r="O19" s="255"/>
      <c r="P19" s="255"/>
      <c r="Q19" s="255"/>
      <c r="R19" s="260">
        <f>IFERROR(__xludf.DUMMYFUNCTION("""COMPUTED_VALUE"""),0)</f>
        <v>0</v>
      </c>
      <c r="S19" s="261" t="str">
        <f>IFERROR(__xludf.DUMMYFUNCTION("""COMPUTED_VALUE"""),"Belum Invoice")</f>
        <v>Belum Invoice</v>
      </c>
      <c r="T19" s="261"/>
    </row>
    <row r="20" customHeight="1" spans="1:20">
      <c r="A20" s="255">
        <f>IFERROR(__xludf.DUMMYFUNCTION("""COMPUTED_VALUE"""),19)</f>
        <v>19</v>
      </c>
      <c r="B20" s="255" t="str">
        <f>IFERROR(__xludf.DUMMYFUNCTION("""COMPUTED_VALUE"""),"Survey Topography Fasilitas Produksi Flowline SP Karangan, Limau Field")</f>
        <v>Survey Topography Fasilitas Produksi Flowline SP Karangan, Limau Field</v>
      </c>
      <c r="C20" s="255" t="str">
        <f>IFERROR(__xludf.DUMMYFUNCTION("""COMPUTED_VALUE"""),"Karangan")</f>
        <v>Karangan</v>
      </c>
      <c r="D20" s="255" t="str">
        <f>IFERROR(__xludf.DUMMYFUNCTION("""COMPUTED_VALUE"""),"066/PHR72410/2025-S0")</f>
        <v>066/PHR72410/2025-S0</v>
      </c>
      <c r="E20" s="255">
        <f>IFERROR(__xludf.DUMMYFUNCTION("""COMPUTED_VALUE"""),41)</f>
        <v>41</v>
      </c>
      <c r="F20" s="255">
        <f>IFERROR(__xludf.DUMMYFUNCTION("""COMPUTED_VALUE"""),0.35)</f>
        <v>0.35</v>
      </c>
      <c r="G20" s="256">
        <f>IFERROR(__xludf.DUMMYFUNCTION("""COMPUTED_VALUE"""),45831)</f>
        <v>45831</v>
      </c>
      <c r="H20" s="256">
        <f>IFERROR(__xludf.DUMMYFUNCTION("""COMPUTED_VALUE"""),45871)</f>
        <v>45871</v>
      </c>
      <c r="I20" s="257">
        <f>IFERROR(__xludf.DUMMYFUNCTION("""COMPUTED_VALUE"""),19665000)</f>
        <v>19665000</v>
      </c>
      <c r="J20" s="257">
        <f>IFERROR(__xludf.DUMMYFUNCTION("""COMPUTED_VALUE"""),26660000)</f>
        <v>26660000</v>
      </c>
      <c r="K20" s="255"/>
      <c r="L20" s="255"/>
      <c r="M20" s="255"/>
      <c r="N20" s="259">
        <f>IFERROR(__xludf.DUMMYFUNCTION("""COMPUTED_VALUE"""),26660000)</f>
        <v>26660000</v>
      </c>
      <c r="O20" s="255"/>
      <c r="P20" s="255"/>
      <c r="Q20" s="255"/>
      <c r="R20" s="260">
        <f>IFERROR(__xludf.DUMMYFUNCTION("""COMPUTED_VALUE"""),0)</f>
        <v>0</v>
      </c>
      <c r="S20" s="261" t="str">
        <f>IFERROR(__xludf.DUMMYFUNCTION("""COMPUTED_VALUE"""),"Belum Invoice")</f>
        <v>Belum Invoice</v>
      </c>
      <c r="T20" s="261"/>
    </row>
    <row r="21" customHeight="1" spans="1:20">
      <c r="A21" s="255">
        <f>IFERROR(__xludf.DUMMYFUNCTION("""COMPUTED_VALUE"""),20)</f>
        <v>20</v>
      </c>
      <c r="B21" s="255" t="str">
        <f>IFERROR(__xludf.DUMMYFUNCTION("""COMPUTED_VALUE"""),"Survey Topography Fasilitas Produksi Flowline SP Lembak, Prabumulih Field")</f>
        <v>Survey Topography Fasilitas Produksi Flowline SP Lembak, Prabumulih Field</v>
      </c>
      <c r="C21" s="255" t="str">
        <f>IFERROR(__xludf.DUMMYFUNCTION("""COMPUTED_VALUE"""),"Lembak")</f>
        <v>Lembak</v>
      </c>
      <c r="D21" s="255" t="str">
        <f>IFERROR(__xludf.DUMMYFUNCTION("""COMPUTED_VALUE"""),"067/PHR72410/2025-S0")</f>
        <v>067/PHR72410/2025-S0</v>
      </c>
      <c r="E21" s="255">
        <f>IFERROR(__xludf.DUMMYFUNCTION("""COMPUTED_VALUE"""),61)</f>
        <v>61</v>
      </c>
      <c r="F21" s="255">
        <f>IFERROR(__xludf.DUMMYFUNCTION("""COMPUTED_VALUE"""),5.27)</f>
        <v>5.27</v>
      </c>
      <c r="G21" s="256">
        <f>IFERROR(__xludf.DUMMYFUNCTION("""COMPUTED_VALUE"""),45831)</f>
        <v>45831</v>
      </c>
      <c r="H21" s="256">
        <f>IFERROR(__xludf.DUMMYFUNCTION("""COMPUTED_VALUE"""),45891)</f>
        <v>45891</v>
      </c>
      <c r="I21" s="257">
        <f>IFERROR(__xludf.DUMMYFUNCTION("""COMPUTED_VALUE"""),43135000)</f>
        <v>43135000</v>
      </c>
      <c r="J21" s="257">
        <f>IFERROR(__xludf.DUMMYFUNCTION("""COMPUTED_VALUE"""),31325000)</f>
        <v>31325000</v>
      </c>
      <c r="K21" s="258">
        <f>IFERROR(__xludf.DUMMYFUNCTION("""COMPUTED_VALUE"""),46106)</f>
        <v>46106</v>
      </c>
      <c r="L21" s="259">
        <f>IFERROR(__xludf.DUMMYFUNCTION("""COMPUTED_VALUE"""),31325000)</f>
        <v>31325000</v>
      </c>
      <c r="M21" s="258">
        <f>IFERROR(__xludf.DUMMYFUNCTION("""COMPUTED_VALUE"""),46077)</f>
        <v>46077</v>
      </c>
      <c r="N21" s="259">
        <f>IFERROR(__xludf.DUMMYFUNCTION("""COMPUTED_VALUE"""),31325000)</f>
        <v>31325000</v>
      </c>
      <c r="O21" s="258">
        <f>IFERROR(__xludf.DUMMYFUNCTION("""COMPUTED_VALUE"""),46241)</f>
        <v>46241</v>
      </c>
      <c r="P21" s="259">
        <f>IFERROR(__xludf.DUMMYFUNCTION("""COMPUTED_VALUE"""),31397000)</f>
        <v>31397000</v>
      </c>
      <c r="Q21" s="260">
        <f>IFERROR(__xludf.DUMMYFUNCTION("""COMPUTED_VALUE"""),1569850)</f>
        <v>1569850</v>
      </c>
      <c r="R21" s="260">
        <f>IFERROR(__xludf.DUMMYFUNCTION("""COMPUTED_VALUE"""),29827150)</f>
        <v>29827150</v>
      </c>
      <c r="S21" s="261" t="str">
        <f>IFERROR(__xludf.DUMMYFUNCTION("""COMPUTED_VALUE"""),"Invoice")</f>
        <v>Invoice</v>
      </c>
      <c r="T21" s="261"/>
    </row>
    <row r="22" customHeight="1" spans="1:20">
      <c r="A22" s="255">
        <f>IFERROR(__xludf.DUMMYFUNCTION("""COMPUTED_VALUE"""),21)</f>
        <v>21</v>
      </c>
      <c r="B22" s="255" t="str">
        <f>IFERROR(__xludf.DUMMYFUNCTION("""COMPUTED_VALUE"""),"Survey Pemetaan, Desain Siteplan Lokasi Bor TAP-NW05, Pendopo Field")</f>
        <v>Survey Pemetaan, Desain Siteplan Lokasi Bor TAP-NW05, Pendopo Field</v>
      </c>
      <c r="C22" s="255" t="str">
        <f>IFERROR(__xludf.DUMMYFUNCTION("""COMPUTED_VALUE"""),"Talang Akar Pendopo")</f>
        <v>Talang Akar Pendopo</v>
      </c>
      <c r="D22" s="255" t="str">
        <f>IFERROR(__xludf.DUMMYFUNCTION("""COMPUTED_VALUE"""),"082/PHR72410/2025-S5")</f>
        <v>082/PHR72410/2025-S5</v>
      </c>
      <c r="E22" s="255">
        <f>IFERROR(__xludf.DUMMYFUNCTION("""COMPUTED_VALUE"""),42)</f>
        <v>42</v>
      </c>
      <c r="F22" s="255">
        <f>IFERROR(__xludf.DUMMYFUNCTION("""COMPUTED_VALUE"""),8.82)</f>
        <v>8.82</v>
      </c>
      <c r="G22" s="256">
        <f>IFERROR(__xludf.DUMMYFUNCTION("""COMPUTED_VALUE"""),45842)</f>
        <v>45842</v>
      </c>
      <c r="H22" s="256">
        <f>IFERROR(__xludf.DUMMYFUNCTION("""COMPUTED_VALUE"""),45883)</f>
        <v>45883</v>
      </c>
      <c r="I22" s="257">
        <f>IFERROR(__xludf.DUMMYFUNCTION("""COMPUTED_VALUE"""),72944000)</f>
        <v>72944000</v>
      </c>
      <c r="J22" s="257">
        <f>IFERROR(__xludf.DUMMYFUNCTION("""COMPUTED_VALUE"""),74917000)</f>
        <v>74917000</v>
      </c>
      <c r="K22" s="258">
        <f>IFERROR(__xludf.DUMMYFUNCTION("""COMPUTED_VALUE"""),46016)</f>
        <v>46016</v>
      </c>
      <c r="L22" s="259">
        <f>IFERROR(__xludf.DUMMYFUNCTION("""COMPUTED_VALUE"""),74917000)</f>
        <v>74917000</v>
      </c>
      <c r="M22" s="258">
        <f>IFERROR(__xludf.DUMMYFUNCTION("""COMPUTED_VALUE"""),46009)</f>
        <v>46009</v>
      </c>
      <c r="N22" s="259">
        <f>IFERROR(__xludf.DUMMYFUNCTION("""COMPUTED_VALUE"""),74917000)</f>
        <v>74917000</v>
      </c>
      <c r="O22" s="255"/>
      <c r="P22" s="255"/>
      <c r="Q22" s="255"/>
      <c r="R22" s="260">
        <f>IFERROR(__xludf.DUMMYFUNCTION("""COMPUTED_VALUE"""),0)</f>
        <v>0</v>
      </c>
      <c r="S22" s="261" t="str">
        <f>IFERROR(__xludf.DUMMYFUNCTION("""COMPUTED_VALUE"""),"Belum Invoice")</f>
        <v>Belum Invoice</v>
      </c>
      <c r="T22" s="261"/>
    </row>
    <row r="23" customHeight="1" spans="1:20">
      <c r="A23" s="255">
        <f>IFERROR(__xludf.DUMMYFUNCTION("""COMPUTED_VALUE"""),22)</f>
        <v>22</v>
      </c>
      <c r="B23" s="255" t="str">
        <f>IFERROR(__xludf.DUMMYFUNCTION("""COMPUTED_VALUE"""),"Survey Pemetaan, Desain Siteplan Lokasi Bor TAP-NW12, Pendopo Field")</f>
        <v>Survey Pemetaan, Desain Siteplan Lokasi Bor TAP-NW12, Pendopo Field</v>
      </c>
      <c r="C23" s="255" t="str">
        <f>IFERROR(__xludf.DUMMYFUNCTION("""COMPUTED_VALUE"""),"Talang Akar Pendopo")</f>
        <v>Talang Akar Pendopo</v>
      </c>
      <c r="D23" s="255" t="str">
        <f>IFERROR(__xludf.DUMMYFUNCTION("""COMPUTED_VALUE"""),"079/PHR72410/2025-S5")</f>
        <v>079/PHR72410/2025-S5</v>
      </c>
      <c r="E23" s="255">
        <f>IFERROR(__xludf.DUMMYFUNCTION("""COMPUTED_VALUE"""),42)</f>
        <v>42</v>
      </c>
      <c r="F23" s="255">
        <f>IFERROR(__xludf.DUMMYFUNCTION("""COMPUTED_VALUE"""),7.66)</f>
        <v>7.66</v>
      </c>
      <c r="G23" s="256">
        <f>IFERROR(__xludf.DUMMYFUNCTION("""COMPUTED_VALUE"""),45842)</f>
        <v>45842</v>
      </c>
      <c r="H23" s="256">
        <f>IFERROR(__xludf.DUMMYFUNCTION("""COMPUTED_VALUE"""),45883)</f>
        <v>45883</v>
      </c>
      <c r="I23" s="257">
        <f>IFERROR(__xludf.DUMMYFUNCTION("""COMPUTED_VALUE"""),69483000)</f>
        <v>69483000</v>
      </c>
      <c r="J23" s="257">
        <f>IFERROR(__xludf.DUMMYFUNCTION("""COMPUTED_VALUE"""),73673000)</f>
        <v>73673000</v>
      </c>
      <c r="K23" s="258">
        <f>IFERROR(__xludf.DUMMYFUNCTION("""COMPUTED_VALUE"""),46016)</f>
        <v>46016</v>
      </c>
      <c r="L23" s="259">
        <f>IFERROR(__xludf.DUMMYFUNCTION("""COMPUTED_VALUE"""),73697000)</f>
        <v>73697000</v>
      </c>
      <c r="M23" s="258">
        <f>IFERROR(__xludf.DUMMYFUNCTION("""COMPUTED_VALUE"""),46021)</f>
        <v>46021</v>
      </c>
      <c r="N23" s="259">
        <f>IFERROR(__xludf.DUMMYFUNCTION("""COMPUTED_VALUE"""),73697000)</f>
        <v>73697000</v>
      </c>
      <c r="O23" s="255"/>
      <c r="P23" s="255"/>
      <c r="Q23" s="255"/>
      <c r="R23" s="260">
        <f>IFERROR(__xludf.DUMMYFUNCTION("""COMPUTED_VALUE"""),0)</f>
        <v>0</v>
      </c>
      <c r="S23" s="261" t="str">
        <f>IFERROR(__xludf.DUMMYFUNCTION("""COMPUTED_VALUE"""),"Belum Invoice")</f>
        <v>Belum Invoice</v>
      </c>
      <c r="T23" s="261"/>
    </row>
    <row r="24" customHeight="1" spans="1:20">
      <c r="A24" s="255">
        <f>IFERROR(__xludf.DUMMYFUNCTION("""COMPUTED_VALUE"""),23)</f>
        <v>23</v>
      </c>
      <c r="B24" s="255" t="str">
        <f>IFERROR(__xludf.DUMMYFUNCTION("""COMPUTED_VALUE"""),"Survey Pemetaan, Desain Siteplan Lokasi Bor BRG-U9, Prabumulih Field")</f>
        <v>Survey Pemetaan, Desain Siteplan Lokasi Bor BRG-U9, Prabumulih Field</v>
      </c>
      <c r="C24" s="255" t="str">
        <f>IFERROR(__xludf.DUMMYFUNCTION("""COMPUTED_VALUE"""),"Beringin")</f>
        <v>Beringin</v>
      </c>
      <c r="D24" s="255" t="str">
        <f>IFERROR(__xludf.DUMMYFUNCTION("""COMPUTED_VALUE"""),"080/PHR72410/2025-S5")</f>
        <v>080/PHR72410/2025-S5</v>
      </c>
      <c r="E24" s="255">
        <f>IFERROR(__xludf.DUMMYFUNCTION("""COMPUTED_VALUE"""),42)</f>
        <v>42</v>
      </c>
      <c r="F24" s="255">
        <f>IFERROR(__xludf.DUMMYFUNCTION("""COMPUTED_VALUE"""),8.15)</f>
        <v>8.15</v>
      </c>
      <c r="G24" s="256">
        <f>IFERROR(__xludf.DUMMYFUNCTION("""COMPUTED_VALUE"""),45842)</f>
        <v>45842</v>
      </c>
      <c r="H24" s="256">
        <f>IFERROR(__xludf.DUMMYFUNCTION("""COMPUTED_VALUE"""),45883)</f>
        <v>45883</v>
      </c>
      <c r="I24" s="257">
        <f>IFERROR(__xludf.DUMMYFUNCTION("""COMPUTED_VALUE"""),66678000)</f>
        <v>66678000</v>
      </c>
      <c r="J24" s="257">
        <f>IFERROR(__xludf.DUMMYFUNCTION("""COMPUTED_VALUE"""),71885000)</f>
        <v>71885000</v>
      </c>
      <c r="K24" s="258">
        <f>IFERROR(__xludf.DUMMYFUNCTION("""COMPUTED_VALUE"""),46016)</f>
        <v>46016</v>
      </c>
      <c r="L24" s="259">
        <f>IFERROR(__xludf.DUMMYFUNCTION("""COMPUTED_VALUE"""),71885000)</f>
        <v>71885000</v>
      </c>
      <c r="M24" s="258">
        <f>IFERROR(__xludf.DUMMYFUNCTION("""COMPUTED_VALUE"""),46009)</f>
        <v>46009</v>
      </c>
      <c r="N24" s="259">
        <f>IFERROR(__xludf.DUMMYFUNCTION("""COMPUTED_VALUE"""),71885000)</f>
        <v>71885000</v>
      </c>
      <c r="O24" s="255"/>
      <c r="P24" s="255"/>
      <c r="Q24" s="255"/>
      <c r="R24" s="260">
        <f>IFERROR(__xludf.DUMMYFUNCTION("""COMPUTED_VALUE"""),0)</f>
        <v>0</v>
      </c>
      <c r="S24" s="261" t="str">
        <f>IFERROR(__xludf.DUMMYFUNCTION("""COMPUTED_VALUE"""),"Belum Invoice")</f>
        <v>Belum Invoice</v>
      </c>
      <c r="T24" s="261"/>
    </row>
    <row r="25" customHeight="1" spans="1:20">
      <c r="A25" s="255">
        <f>IFERROR(__xludf.DUMMYFUNCTION("""COMPUTED_VALUE"""),24)</f>
        <v>24</v>
      </c>
      <c r="B25" s="255" t="str">
        <f>IFERROR(__xludf.DUMMYFUNCTION("""COMPUTED_VALUE"""),"Survey Pemetaan, Desain Siteplan Lokasi Bor BRG-U10, Prabumulih Field")</f>
        <v>Survey Pemetaan, Desain Siteplan Lokasi Bor BRG-U10, Prabumulih Field</v>
      </c>
      <c r="C25" s="255" t="str">
        <f>IFERROR(__xludf.DUMMYFUNCTION("""COMPUTED_VALUE"""),"Beringin")</f>
        <v>Beringin</v>
      </c>
      <c r="D25" s="255" t="str">
        <f>IFERROR(__xludf.DUMMYFUNCTION("""COMPUTED_VALUE"""),"081/PHR72410/2025-S5")</f>
        <v>081/PHR72410/2025-S5</v>
      </c>
      <c r="E25" s="255">
        <f>IFERROR(__xludf.DUMMYFUNCTION("""COMPUTED_VALUE"""),42)</f>
        <v>42</v>
      </c>
      <c r="F25" s="255">
        <f>IFERROR(__xludf.DUMMYFUNCTION("""COMPUTED_VALUE"""),10.63)</f>
        <v>10.63</v>
      </c>
      <c r="G25" s="256">
        <f>IFERROR(__xludf.DUMMYFUNCTION("""COMPUTED_VALUE"""),45842)</f>
        <v>45842</v>
      </c>
      <c r="H25" s="256">
        <f>IFERROR(__xludf.DUMMYFUNCTION("""COMPUTED_VALUE"""),45883)</f>
        <v>45883</v>
      </c>
      <c r="I25" s="257">
        <f>IFERROR(__xludf.DUMMYFUNCTION("""COMPUTED_VALUE"""),98641000)</f>
        <v>98641000</v>
      </c>
      <c r="J25" s="257">
        <f>IFERROR(__xludf.DUMMYFUNCTION("""COMPUTED_VALUE"""),97111000)</f>
        <v>97111000</v>
      </c>
      <c r="K25" s="258">
        <f>IFERROR(__xludf.DUMMYFUNCTION("""COMPUTED_VALUE"""),46016)</f>
        <v>46016</v>
      </c>
      <c r="L25" s="259">
        <f>IFERROR(__xludf.DUMMYFUNCTION("""COMPUTED_VALUE"""),97111000)</f>
        <v>97111000</v>
      </c>
      <c r="M25" s="258">
        <f>IFERROR(__xludf.DUMMYFUNCTION("""COMPUTED_VALUE"""),46009)</f>
        <v>46009</v>
      </c>
      <c r="N25" s="259">
        <f>IFERROR(__xludf.DUMMYFUNCTION("""COMPUTED_VALUE"""),97111000)</f>
        <v>97111000</v>
      </c>
      <c r="O25" s="258">
        <f>IFERROR(__xludf.DUMMYFUNCTION("""COMPUTED_VALUE"""),46241)</f>
        <v>46241</v>
      </c>
      <c r="P25" s="259">
        <f>IFERROR(__xludf.DUMMYFUNCTION("""COMPUTED_VALUE"""),97111000)</f>
        <v>97111000</v>
      </c>
      <c r="Q25" s="260">
        <f>IFERROR(__xludf.DUMMYFUNCTION("""COMPUTED_VALUE"""),4855550)</f>
        <v>4855550</v>
      </c>
      <c r="R25" s="260">
        <f>IFERROR(__xludf.DUMMYFUNCTION("""COMPUTED_VALUE"""),92255450)</f>
        <v>92255450</v>
      </c>
      <c r="S25" s="261" t="str">
        <f>IFERROR(__xludf.DUMMYFUNCTION("""COMPUTED_VALUE"""),"Invoice")</f>
        <v>Invoice</v>
      </c>
      <c r="T25" s="261"/>
    </row>
    <row r="26" customHeight="1" spans="1:20">
      <c r="A26" s="255">
        <f>IFERROR(__xludf.DUMMYFUNCTION("""COMPUTED_VALUE"""),25)</f>
        <v>25</v>
      </c>
      <c r="B26" s="255" t="str">
        <f>IFERROR(__xludf.DUMMYFUNCTION("""COMPUTED_VALUE"""),"Survey Pemetaan, Desain Siteplan Lokasi Bor KRG-PE2, Limau Field")</f>
        <v>Survey Pemetaan, Desain Siteplan Lokasi Bor KRG-PE2, Limau Field</v>
      </c>
      <c r="C26" s="255" t="str">
        <f>IFERROR(__xludf.DUMMYFUNCTION("""COMPUTED_VALUE"""),"Karangan")</f>
        <v>Karangan</v>
      </c>
      <c r="D26" s="255" t="str">
        <f>IFERROR(__xludf.DUMMYFUNCTION("""COMPUTED_VALUE"""),"086/PHR72410/2025-S5")</f>
        <v>086/PHR72410/2025-S5</v>
      </c>
      <c r="E26" s="255">
        <f>IFERROR(__xludf.DUMMYFUNCTION("""COMPUTED_VALUE"""),42)</f>
        <v>42</v>
      </c>
      <c r="F26" s="255">
        <f>IFERROR(__xludf.DUMMYFUNCTION("""COMPUTED_VALUE"""),3.75)</f>
        <v>3.75</v>
      </c>
      <c r="G26" s="256">
        <f>IFERROR(__xludf.DUMMYFUNCTION("""COMPUTED_VALUE"""),45849)</f>
        <v>45849</v>
      </c>
      <c r="H26" s="256">
        <f>IFERROR(__xludf.DUMMYFUNCTION("""COMPUTED_VALUE"""),45890)</f>
        <v>45890</v>
      </c>
      <c r="I26" s="257">
        <f>IFERROR(__xludf.DUMMYFUNCTION("""COMPUTED_VALUE"""),44800000)</f>
        <v>44800000</v>
      </c>
      <c r="J26" s="257">
        <f>IFERROR(__xludf.DUMMYFUNCTION("""COMPUTED_VALUE"""),6148000)</f>
        <v>6148000</v>
      </c>
      <c r="K26" s="258">
        <f>IFERROR(__xludf.DUMMYFUNCTION("""COMPUTED_VALUE"""),45986)</f>
        <v>45986</v>
      </c>
      <c r="L26" s="259">
        <f>IFERROR(__xludf.DUMMYFUNCTION("""COMPUTED_VALUE"""),9190000)</f>
        <v>9190000</v>
      </c>
      <c r="M26" s="258">
        <f>IFERROR(__xludf.DUMMYFUNCTION("""COMPUTED_VALUE"""),45978)</f>
        <v>45978</v>
      </c>
      <c r="N26" s="259">
        <f>IFERROR(__xludf.DUMMYFUNCTION("""COMPUTED_VALUE"""),9190000)</f>
        <v>9190000</v>
      </c>
      <c r="O26" s="258">
        <f>IFERROR(__xludf.DUMMYFUNCTION("""COMPUTED_VALUE"""),46087)</f>
        <v>46087</v>
      </c>
      <c r="P26" s="259">
        <f>IFERROR(__xludf.DUMMYFUNCTION("""COMPUTED_VALUE"""),6148000)</f>
        <v>6148000</v>
      </c>
      <c r="Q26" s="260">
        <f>IFERROR(__xludf.DUMMYFUNCTION("""COMPUTED_VALUE"""),307400)</f>
        <v>307400</v>
      </c>
      <c r="R26" s="260">
        <f>IFERROR(__xludf.DUMMYFUNCTION("""COMPUTED_VALUE"""),5840600)</f>
        <v>5840600</v>
      </c>
      <c r="S26" s="261" t="str">
        <f>IFERROR(__xludf.DUMMYFUNCTION("""COMPUTED_VALUE"""),"Invoice")</f>
        <v>Invoice</v>
      </c>
      <c r="T26" s="261"/>
    </row>
    <row r="27" customHeight="1" spans="1:20">
      <c r="A27" s="255">
        <f>IFERROR(__xludf.DUMMYFUNCTION("""COMPUTED_VALUE"""),26)</f>
        <v>26</v>
      </c>
      <c r="B27" s="255" t="str">
        <f>IFERROR(__xludf.DUMMYFUNCTION("""COMPUTED_VALUE"""),"Survey Pemetaan, Desain Siteplan Lokasi Bor KRG-PN2 dan KRG- PN4, Limau Field")</f>
        <v>Survey Pemetaan, Desain Siteplan Lokasi Bor KRG-PN2 dan KRG- PN4, Limau Field</v>
      </c>
      <c r="C27" s="255" t="str">
        <f>IFERROR(__xludf.DUMMYFUNCTION("""COMPUTED_VALUE"""),"Karangan")</f>
        <v>Karangan</v>
      </c>
      <c r="D27" s="255" t="str">
        <f>IFERROR(__xludf.DUMMYFUNCTION("""COMPUTED_VALUE"""),"089/PHR72410/2025-S5")</f>
        <v>089/PHR72410/2025-S5</v>
      </c>
      <c r="E27" s="255">
        <f>IFERROR(__xludf.DUMMYFUNCTION("""COMPUTED_VALUE"""),42)</f>
        <v>42</v>
      </c>
      <c r="F27" s="255">
        <f>IFERROR(__xludf.DUMMYFUNCTION("""COMPUTED_VALUE"""),7.3)</f>
        <v>7.3</v>
      </c>
      <c r="G27" s="256">
        <f>IFERROR(__xludf.DUMMYFUNCTION("""COMPUTED_VALUE"""),45849)</f>
        <v>45849</v>
      </c>
      <c r="H27" s="256">
        <f>IFERROR(__xludf.DUMMYFUNCTION("""COMPUTED_VALUE"""),45890)</f>
        <v>45890</v>
      </c>
      <c r="I27" s="257">
        <f>IFERROR(__xludf.DUMMYFUNCTION("""COMPUTED_VALUE"""),64697000)</f>
        <v>64697000</v>
      </c>
      <c r="J27" s="257">
        <f>IFERROR(__xludf.DUMMYFUNCTION("""COMPUTED_VALUE"""),63862000)</f>
        <v>63862000</v>
      </c>
      <c r="K27" s="258">
        <f>IFERROR(__xludf.DUMMYFUNCTION("""COMPUTED_VALUE"""),45986)</f>
        <v>45986</v>
      </c>
      <c r="L27" s="259">
        <f>IFERROR(__xludf.DUMMYFUNCTION("""COMPUTED_VALUE"""),63862000)</f>
        <v>63862000</v>
      </c>
      <c r="M27" s="258">
        <f>IFERROR(__xludf.DUMMYFUNCTION("""COMPUTED_VALUE"""),45978)</f>
        <v>45978</v>
      </c>
      <c r="N27" s="259">
        <f>IFERROR(__xludf.DUMMYFUNCTION("""COMPUTED_VALUE"""),63862000)</f>
        <v>63862000</v>
      </c>
      <c r="O27" s="258">
        <f>IFERROR(__xludf.DUMMYFUNCTION("""COMPUTED_VALUE"""),46241)</f>
        <v>46241</v>
      </c>
      <c r="P27" s="259">
        <f>IFERROR(__xludf.DUMMYFUNCTION("""COMPUTED_VALUE"""),63862000)</f>
        <v>63862000</v>
      </c>
      <c r="Q27" s="260">
        <f>IFERROR(__xludf.DUMMYFUNCTION("""COMPUTED_VALUE"""),3193100)</f>
        <v>3193100</v>
      </c>
      <c r="R27" s="260">
        <f>IFERROR(__xludf.DUMMYFUNCTION("""COMPUTED_VALUE"""),60668900)</f>
        <v>60668900</v>
      </c>
      <c r="S27" s="261" t="str">
        <f>IFERROR(__xludf.DUMMYFUNCTION("""COMPUTED_VALUE"""),"Invoice")</f>
        <v>Invoice</v>
      </c>
      <c r="T27" s="261"/>
    </row>
    <row r="28" customHeight="1" spans="1:20">
      <c r="A28" s="255">
        <f>IFERROR(__xludf.DUMMYFUNCTION("""COMPUTED_VALUE"""),27)</f>
        <v>27</v>
      </c>
      <c r="B28" s="255" t="str">
        <f>IFERROR(__xludf.DUMMYFUNCTION("""COMPUTED_VALUE"""),"Survey Pemetaan, Desain Siteplan Lokasi Bor KRG-PJ1, Limau Field")</f>
        <v>Survey Pemetaan, Desain Siteplan Lokasi Bor KRG-PJ1, Limau Field</v>
      </c>
      <c r="C28" s="255" t="str">
        <f>IFERROR(__xludf.DUMMYFUNCTION("""COMPUTED_VALUE"""),"Karangan")</f>
        <v>Karangan</v>
      </c>
      <c r="D28" s="255" t="str">
        <f>IFERROR(__xludf.DUMMYFUNCTION("""COMPUTED_VALUE"""),"087/PHR72410/2025-S5")</f>
        <v>087/PHR72410/2025-S5</v>
      </c>
      <c r="E28" s="255">
        <f>IFERROR(__xludf.DUMMYFUNCTION("""COMPUTED_VALUE"""),42)</f>
        <v>42</v>
      </c>
      <c r="F28" s="255">
        <f>IFERROR(__xludf.DUMMYFUNCTION("""COMPUTED_VALUE"""),2.85)</f>
        <v>2.85</v>
      </c>
      <c r="G28" s="256">
        <f>IFERROR(__xludf.DUMMYFUNCTION("""COMPUTED_VALUE"""),45849)</f>
        <v>45849</v>
      </c>
      <c r="H28" s="256">
        <f>IFERROR(__xludf.DUMMYFUNCTION("""COMPUTED_VALUE"""),45890)</f>
        <v>45890</v>
      </c>
      <c r="I28" s="257">
        <f>IFERROR(__xludf.DUMMYFUNCTION("""COMPUTED_VALUE"""),40565000)</f>
        <v>40565000</v>
      </c>
      <c r="J28" s="257">
        <f>IFERROR(__xludf.DUMMYFUNCTION("""COMPUTED_VALUE"""),5529000)</f>
        <v>5529000</v>
      </c>
      <c r="K28" s="258">
        <f>IFERROR(__xludf.DUMMYFUNCTION("""COMPUTED_VALUE"""),45986)</f>
        <v>45986</v>
      </c>
      <c r="L28" s="259">
        <f>IFERROR(__xludf.DUMMYFUNCTION("""COMPUTED_VALUE"""),8180123)</f>
        <v>8180123</v>
      </c>
      <c r="M28" s="258">
        <f>IFERROR(__xludf.DUMMYFUNCTION("""COMPUTED_VALUE"""),45978)</f>
        <v>45978</v>
      </c>
      <c r="N28" s="259">
        <f>IFERROR(__xludf.DUMMYFUNCTION("""COMPUTED_VALUE"""),8180123)</f>
        <v>8180123</v>
      </c>
      <c r="O28" s="258">
        <f>IFERROR(__xludf.DUMMYFUNCTION("""COMPUTED_VALUE"""),46087)</f>
        <v>46087</v>
      </c>
      <c r="P28" s="259">
        <f>IFERROR(__xludf.DUMMYFUNCTION("""COMPUTED_VALUE"""),5529000)</f>
        <v>5529000</v>
      </c>
      <c r="Q28" s="260">
        <f>IFERROR(__xludf.DUMMYFUNCTION("""COMPUTED_VALUE"""),276450)</f>
        <v>276450</v>
      </c>
      <c r="R28" s="260">
        <f>IFERROR(__xludf.DUMMYFUNCTION("""COMPUTED_VALUE"""),5252550)</f>
        <v>5252550</v>
      </c>
      <c r="S28" s="261" t="str">
        <f>IFERROR(__xludf.DUMMYFUNCTION("""COMPUTED_VALUE"""),"Invoice")</f>
        <v>Invoice</v>
      </c>
      <c r="T28" s="261"/>
    </row>
    <row r="29" customHeight="1" spans="1:20">
      <c r="A29" s="255">
        <f>IFERROR(__xludf.DUMMYFUNCTION("""COMPUTED_VALUE"""),28)</f>
        <v>28</v>
      </c>
      <c r="B29" s="255" t="str">
        <f>IFERROR(__xludf.DUMMYFUNCTION("""COMPUTED_VALUE"""),"Survey Pemetaan, Desain Siteplan Lokasi Bor KRG-PK2, Limau Field")</f>
        <v>Survey Pemetaan, Desain Siteplan Lokasi Bor KRG-PK2, Limau Field</v>
      </c>
      <c r="C29" s="255" t="str">
        <f>IFERROR(__xludf.DUMMYFUNCTION("""COMPUTED_VALUE"""),"Karangan")</f>
        <v>Karangan</v>
      </c>
      <c r="D29" s="255" t="str">
        <f>IFERROR(__xludf.DUMMYFUNCTION("""COMPUTED_VALUE"""),"088/PHR72410/2025-S5")</f>
        <v>088/PHR72410/2025-S5</v>
      </c>
      <c r="E29" s="255">
        <f>IFERROR(__xludf.DUMMYFUNCTION("""COMPUTED_VALUE"""),42)</f>
        <v>42</v>
      </c>
      <c r="F29" s="255">
        <f>IFERROR(__xludf.DUMMYFUNCTION("""COMPUTED_VALUE"""),3.75)</f>
        <v>3.75</v>
      </c>
      <c r="G29" s="256">
        <f>IFERROR(__xludf.DUMMYFUNCTION("""COMPUTED_VALUE"""),45849)</f>
        <v>45849</v>
      </c>
      <c r="H29" s="256">
        <f>IFERROR(__xludf.DUMMYFUNCTION("""COMPUTED_VALUE"""),45890)</f>
        <v>45890</v>
      </c>
      <c r="I29" s="257">
        <f>IFERROR(__xludf.DUMMYFUNCTION("""COMPUTED_VALUE"""),36763000)</f>
        <v>36763000</v>
      </c>
      <c r="J29" s="257">
        <f>IFERROR(__xludf.DUMMYFUNCTION("""COMPUTED_VALUE"""),34404000)</f>
        <v>34404000</v>
      </c>
      <c r="K29" s="258">
        <f>IFERROR(__xludf.DUMMYFUNCTION("""COMPUTED_VALUE"""),45986)</f>
        <v>45986</v>
      </c>
      <c r="L29" s="259">
        <f>IFERROR(__xludf.DUMMYFUNCTION("""COMPUTED_VALUE"""),31204000)</f>
        <v>31204000</v>
      </c>
      <c r="M29" s="258">
        <f>IFERROR(__xludf.DUMMYFUNCTION("""COMPUTED_VALUE"""),45978)</f>
        <v>45978</v>
      </c>
      <c r="N29" s="259">
        <f>IFERROR(__xludf.DUMMYFUNCTION("""COMPUTED_VALUE"""),31204000)</f>
        <v>31204000</v>
      </c>
      <c r="O29" s="258">
        <f>IFERROR(__xludf.DUMMYFUNCTION("""COMPUTED_VALUE"""),46121)</f>
        <v>46121</v>
      </c>
      <c r="P29" s="259">
        <f>IFERROR(__xludf.DUMMYFUNCTION("""COMPUTED_VALUE"""),31404000)</f>
        <v>31404000</v>
      </c>
      <c r="Q29" s="260">
        <f>IFERROR(__xludf.DUMMYFUNCTION("""COMPUTED_VALUE"""),1570200)</f>
        <v>1570200</v>
      </c>
      <c r="R29" s="260">
        <f>IFERROR(__xludf.DUMMYFUNCTION("""COMPUTED_VALUE"""),29833800)</f>
        <v>29833800</v>
      </c>
      <c r="S29" s="261" t="str">
        <f>IFERROR(__xludf.DUMMYFUNCTION("""COMPUTED_VALUE"""),"Invoice")</f>
        <v>Invoice</v>
      </c>
      <c r="T29" s="261"/>
    </row>
    <row r="30" customHeight="1" spans="1:20">
      <c r="A30" s="255">
        <f>IFERROR(__xludf.DUMMYFUNCTION("""COMPUTED_VALUE"""),29)</f>
        <v>29</v>
      </c>
      <c r="B30" s="255" t="str">
        <f>IFERROR(__xludf.DUMMYFUNCTION("""COMPUTED_VALUE"""),"Survey Pemetaan, Desain Siteplan Lokasi Bor CLA-001, Pendopo Field")</f>
        <v>Survey Pemetaan, Desain Siteplan Lokasi Bor CLA-001, Pendopo Field</v>
      </c>
      <c r="C30" s="255" t="str">
        <f>IFERROR(__xludf.DUMMYFUNCTION("""COMPUTED_VALUE"""),"Celosia")</f>
        <v>Celosia</v>
      </c>
      <c r="D30" s="255" t="str">
        <f>IFERROR(__xludf.DUMMYFUNCTION("""COMPUTED_VALUE"""),"093/PHR72410/2025-S5")</f>
        <v>093/PHR72410/2025-S5</v>
      </c>
      <c r="E30" s="255">
        <f>IFERROR(__xludf.DUMMYFUNCTION("""COMPUTED_VALUE"""),92)</f>
        <v>92</v>
      </c>
      <c r="F30" s="255">
        <f>IFERROR(__xludf.DUMMYFUNCTION("""COMPUTED_VALUE"""),43.55)</f>
        <v>43.55</v>
      </c>
      <c r="G30" s="256">
        <f>IFERROR(__xludf.DUMMYFUNCTION("""COMPUTED_VALUE"""),45856)</f>
        <v>45856</v>
      </c>
      <c r="H30" s="256">
        <f>IFERROR(__xludf.DUMMYFUNCTION("""COMPUTED_VALUE"""),45947)</f>
        <v>45947</v>
      </c>
      <c r="I30" s="257">
        <f>IFERROR(__xludf.DUMMYFUNCTION("""COMPUTED_VALUE"""),283360000)</f>
        <v>283360000</v>
      </c>
      <c r="J30" s="257">
        <f>IFERROR(__xludf.DUMMYFUNCTION("""COMPUTED_VALUE"""),277062000)</f>
        <v>277062000</v>
      </c>
      <c r="K30" s="258">
        <f>IFERROR(__xludf.DUMMYFUNCTION("""COMPUTED_VALUE"""),46016)</f>
        <v>46016</v>
      </c>
      <c r="L30" s="259">
        <f>IFERROR(__xludf.DUMMYFUNCTION("""COMPUTED_VALUE"""),277062000)</f>
        <v>277062000</v>
      </c>
      <c r="M30" s="258">
        <f>IFERROR(__xludf.DUMMYFUNCTION("""COMPUTED_VALUE"""),45978)</f>
        <v>45978</v>
      </c>
      <c r="N30" s="259">
        <f>IFERROR(__xludf.DUMMYFUNCTION("""COMPUTED_VALUE"""),277062000)</f>
        <v>277062000</v>
      </c>
      <c r="O30" s="258">
        <f>IFERROR(__xludf.DUMMYFUNCTION("""COMPUTED_VALUE"""),46241)</f>
        <v>46241</v>
      </c>
      <c r="P30" s="259">
        <f>IFERROR(__xludf.DUMMYFUNCTION("""COMPUTED_VALUE"""),271820000)</f>
        <v>271820000</v>
      </c>
      <c r="Q30" s="260">
        <f>IFERROR(__xludf.DUMMYFUNCTION("""COMPUTED_VALUE"""),0)</f>
        <v>0</v>
      </c>
      <c r="R30" s="260">
        <f>IFERROR(__xludf.DUMMYFUNCTION("""COMPUTED_VALUE"""),271820000)</f>
        <v>271820000</v>
      </c>
      <c r="S30" s="261" t="str">
        <f>IFERROR(__xludf.DUMMYFUNCTION("""COMPUTED_VALUE"""),"Invoice")</f>
        <v>Invoice</v>
      </c>
      <c r="T30" s="261"/>
    </row>
    <row r="31" customHeight="1" spans="1:20">
      <c r="A31" s="255">
        <f>IFERROR(__xludf.DUMMYFUNCTION("""COMPUTED_VALUE"""),30)</f>
        <v>30</v>
      </c>
      <c r="B31" s="255" t="str">
        <f>IFERROR(__xludf.DUMMYFUNCTION("""COMPUTED_VALUE"""),"Survey Pemetaan, Desain Siteplan Lokasi Bor BNG-D5, Adera Field")</f>
        <v>Survey Pemetaan, Desain Siteplan Lokasi Bor BNG-D5, Adera Field</v>
      </c>
      <c r="C31" s="255" t="str">
        <f>IFERROR(__xludf.DUMMYFUNCTION("""COMPUTED_VALUE"""),"Benuang")</f>
        <v>Benuang</v>
      </c>
      <c r="D31" s="255" t="str">
        <f>IFERROR(__xludf.DUMMYFUNCTION("""COMPUTED_VALUE"""),"097/PHR72410/2025-S5")</f>
        <v>097/PHR72410/2025-S5</v>
      </c>
      <c r="E31" s="255">
        <f>IFERROR(__xludf.DUMMYFUNCTION("""COMPUTED_VALUE"""),42)</f>
        <v>42</v>
      </c>
      <c r="F31" s="255">
        <f>IFERROR(__xludf.DUMMYFUNCTION("""COMPUTED_VALUE"""),5.3)</f>
        <v>5.3</v>
      </c>
      <c r="G31" s="256">
        <f>IFERROR(__xludf.DUMMYFUNCTION("""COMPUTED_VALUE"""),45866)</f>
        <v>45866</v>
      </c>
      <c r="H31" s="256">
        <f>IFERROR(__xludf.DUMMYFUNCTION("""COMPUTED_VALUE"""),45907)</f>
        <v>45907</v>
      </c>
      <c r="I31" s="257">
        <f>IFERROR(__xludf.DUMMYFUNCTION("""COMPUTED_VALUE"""),50971000)</f>
        <v>50971000</v>
      </c>
      <c r="J31" s="257">
        <f>IFERROR(__xludf.DUMMYFUNCTION("""COMPUTED_VALUE"""),56256000)</f>
        <v>56256000</v>
      </c>
      <c r="K31" s="258">
        <f>IFERROR(__xludf.DUMMYFUNCTION("""COMPUTED_VALUE"""),45986)</f>
        <v>45986</v>
      </c>
      <c r="L31" s="259">
        <f>IFERROR(__xludf.DUMMYFUNCTION("""COMPUTED_VALUE"""),56324000)</f>
        <v>56324000</v>
      </c>
      <c r="M31" s="258">
        <f>IFERROR(__xludf.DUMMYFUNCTION("""COMPUTED_VALUE"""),45978)</f>
        <v>45978</v>
      </c>
      <c r="N31" s="259">
        <f>IFERROR(__xludf.DUMMYFUNCTION("""COMPUTED_VALUE"""),56324000)</f>
        <v>56324000</v>
      </c>
      <c r="O31" s="258">
        <f>IFERROR(__xludf.DUMMYFUNCTION("""COMPUTED_VALUE"""),46177)</f>
        <v>46177</v>
      </c>
      <c r="P31" s="259">
        <f>IFERROR(__xludf.DUMMYFUNCTION("""COMPUTED_VALUE"""),56256000)</f>
        <v>56256000</v>
      </c>
      <c r="Q31" s="260">
        <f>IFERROR(__xludf.DUMMYFUNCTION("""COMPUTED_VALUE"""),2812800)</f>
        <v>2812800</v>
      </c>
      <c r="R31" s="260">
        <f>IFERROR(__xludf.DUMMYFUNCTION("""COMPUTED_VALUE"""),53443200)</f>
        <v>53443200</v>
      </c>
      <c r="S31" s="261" t="str">
        <f>IFERROR(__xludf.DUMMYFUNCTION("""COMPUTED_VALUE"""),"Invoice")</f>
        <v>Invoice</v>
      </c>
      <c r="T31" s="261"/>
    </row>
    <row r="32" customHeight="1" spans="1:20">
      <c r="A32" s="255">
        <f>IFERROR(__xludf.DUMMYFUNCTION("""COMPUTED_VALUE"""),31)</f>
        <v>31</v>
      </c>
      <c r="B32" s="255" t="str">
        <f>IFERROR(__xludf.DUMMYFUNCTION("""COMPUTED_VALUE"""),"Survey Topography Fasilitas Produksi Clusterline Gas Benuang")</f>
        <v>Survey Topography Fasilitas Produksi Clusterline Gas Benuang</v>
      </c>
      <c r="C32" s="255" t="str">
        <f>IFERROR(__xludf.DUMMYFUNCTION("""COMPUTED_VALUE"""),"Benuang")</f>
        <v>Benuang</v>
      </c>
      <c r="D32" s="255" t="str">
        <f>IFERROR(__xludf.DUMMYFUNCTION("""COMPUTED_VALUE"""),"101/PHR72410/2025-S0")</f>
        <v>101/PHR72410/2025-S0</v>
      </c>
      <c r="E32" s="255">
        <f>IFERROR(__xludf.DUMMYFUNCTION("""COMPUTED_VALUE"""),62)</f>
        <v>62</v>
      </c>
      <c r="F32" s="255">
        <f>IFERROR(__xludf.DUMMYFUNCTION("""COMPUTED_VALUE"""),4.23)</f>
        <v>4.23</v>
      </c>
      <c r="G32" s="256">
        <f>IFERROR(__xludf.DUMMYFUNCTION("""COMPUTED_VALUE"""),45884)</f>
        <v>45884</v>
      </c>
      <c r="H32" s="256">
        <f>IFERROR(__xludf.DUMMYFUNCTION("""COMPUTED_VALUE"""),45945)</f>
        <v>45945</v>
      </c>
      <c r="I32" s="257">
        <f>IFERROR(__xludf.DUMMYFUNCTION("""COMPUTED_VALUE"""),40934000)</f>
        <v>40934000</v>
      </c>
      <c r="J32" s="257">
        <f>IFERROR(__xludf.DUMMYFUNCTION("""COMPUTED_VALUE"""),34719000)</f>
        <v>34719000</v>
      </c>
      <c r="K32" s="258">
        <f>IFERROR(__xludf.DUMMYFUNCTION("""COMPUTED_VALUE"""),46106)</f>
        <v>46106</v>
      </c>
      <c r="L32" s="259">
        <f>IFERROR(__xludf.DUMMYFUNCTION("""COMPUTED_VALUE"""),34719000)</f>
        <v>34719000</v>
      </c>
      <c r="M32" s="258">
        <f>IFERROR(__xludf.DUMMYFUNCTION("""COMPUTED_VALUE"""),46077)</f>
        <v>46077</v>
      </c>
      <c r="N32" s="259">
        <f>IFERROR(__xludf.DUMMYFUNCTION("""COMPUTED_VALUE"""),34719000)</f>
        <v>34719000</v>
      </c>
      <c r="O32" s="255"/>
      <c r="P32" s="255"/>
      <c r="Q32" s="255"/>
      <c r="R32" s="260">
        <f>IFERROR(__xludf.DUMMYFUNCTION("""COMPUTED_VALUE"""),0)</f>
        <v>0</v>
      </c>
      <c r="S32" s="261" t="str">
        <f>IFERROR(__xludf.DUMMYFUNCTION("""COMPUTED_VALUE"""),"Belum Invoice")</f>
        <v>Belum Invoice</v>
      </c>
      <c r="T32" s="261"/>
    </row>
    <row r="33" customHeight="1" spans="1:20">
      <c r="A33" s="255">
        <f>IFERROR(__xludf.DUMMYFUNCTION("""COMPUTED_VALUE"""),32)</f>
        <v>32</v>
      </c>
      <c r="B33" s="255" t="str">
        <f>IFERROR(__xludf.DUMMYFUNCTION("""COMPUTED_VALUE"""),"Survey Pemetaan, Desain Siteplan Lokasi Bor BEL-K7, BEL-K8 &amp; BEL- K9")</f>
        <v>Survey Pemetaan, Desain Siteplan Lokasi Bor BEL-K7, BEL-K8 &amp; BEL- K9</v>
      </c>
      <c r="C33" s="255" t="str">
        <f>IFERROR(__xludf.DUMMYFUNCTION("""COMPUTED_VALUE"""),"Belimbing")</f>
        <v>Belimbing</v>
      </c>
      <c r="D33" s="255" t="str">
        <f>IFERROR(__xludf.DUMMYFUNCTION("""COMPUTED_VALUE"""),"110/PHR72410/2025-S0")</f>
        <v>110/PHR72410/2025-S0</v>
      </c>
      <c r="E33" s="255">
        <f>IFERROR(__xludf.DUMMYFUNCTION("""COMPUTED_VALUE"""),42)</f>
        <v>42</v>
      </c>
      <c r="F33" s="255">
        <f>IFERROR(__xludf.DUMMYFUNCTION("""COMPUTED_VALUE"""),9.63)</f>
        <v>9.63</v>
      </c>
      <c r="G33" s="256">
        <f>IFERROR(__xludf.DUMMYFUNCTION("""COMPUTED_VALUE"""),45938)</f>
        <v>45938</v>
      </c>
      <c r="H33" s="256">
        <f>IFERROR(__xludf.DUMMYFUNCTION("""COMPUTED_VALUE"""),45979)</f>
        <v>45979</v>
      </c>
      <c r="I33" s="257">
        <f>IFERROR(__xludf.DUMMYFUNCTION("""COMPUTED_VALUE"""),83914000)</f>
        <v>83914000</v>
      </c>
      <c r="J33" s="257">
        <f>IFERROR(__xludf.DUMMYFUNCTION("""COMPUTED_VALUE"""),83172000)</f>
        <v>83172000</v>
      </c>
      <c r="K33" s="258">
        <f>IFERROR(__xludf.DUMMYFUNCTION("""COMPUTED_VALUE"""),46016)</f>
        <v>46016</v>
      </c>
      <c r="L33" s="259">
        <f>IFERROR(__xludf.DUMMYFUNCTION("""COMPUTED_VALUE"""),83136000)</f>
        <v>83136000</v>
      </c>
      <c r="M33" s="258">
        <f>IFERROR(__xludf.DUMMYFUNCTION("""COMPUTED_VALUE"""),46009)</f>
        <v>46009</v>
      </c>
      <c r="N33" s="259">
        <f>IFERROR(__xludf.DUMMYFUNCTION("""COMPUTED_VALUE"""),83136000)</f>
        <v>83136000</v>
      </c>
      <c r="O33" s="255"/>
      <c r="P33" s="259">
        <f>IFERROR(__xludf.DUMMYFUNCTION("""COMPUTED_VALUE"""),83172000)</f>
        <v>83172000</v>
      </c>
      <c r="Q33" s="255"/>
      <c r="R33" s="260">
        <f>IFERROR(__xludf.DUMMYFUNCTION("""COMPUTED_VALUE"""),83172000)</f>
        <v>83172000</v>
      </c>
      <c r="S33" s="261" t="str">
        <f>IFERROR(__xludf.DUMMYFUNCTION("""COMPUTED_VALUE"""),"Invoice")</f>
        <v>Invoice</v>
      </c>
      <c r="T33" s="261"/>
    </row>
    <row r="34" customHeight="1" spans="1:20">
      <c r="A34" s="255">
        <f>IFERROR(__xludf.DUMMYFUNCTION("""COMPUTED_VALUE"""),33)</f>
        <v>33</v>
      </c>
      <c r="B34" s="255" t="str">
        <f>IFERROR(__xludf.DUMMYFUNCTION("""COMPUTED_VALUE"""),"Survey Pemetaan, Desain Siteplan Lokasi Bor LKT-24")</f>
        <v>Survey Pemetaan, Desain Siteplan Lokasi Bor LKT-24</v>
      </c>
      <c r="C34" s="255" t="str">
        <f>IFERROR(__xludf.DUMMYFUNCTION("""COMPUTED_VALUE"""),"Lembak")</f>
        <v>Lembak</v>
      </c>
      <c r="D34" s="255" t="str">
        <f>IFERROR(__xludf.DUMMYFUNCTION("""COMPUTED_VALUE"""),"111/PHR72410/2025-S0")</f>
        <v>111/PHR72410/2025-S0</v>
      </c>
      <c r="E34" s="255">
        <f>IFERROR(__xludf.DUMMYFUNCTION("""COMPUTED_VALUE"""),42)</f>
        <v>42</v>
      </c>
      <c r="F34" s="255">
        <f>IFERROR(__xludf.DUMMYFUNCTION("""COMPUTED_VALUE"""),4.24)</f>
        <v>4.24</v>
      </c>
      <c r="G34" s="256">
        <f>IFERROR(__xludf.DUMMYFUNCTION("""COMPUTED_VALUE"""),45938)</f>
        <v>45938</v>
      </c>
      <c r="H34" s="256">
        <f>IFERROR(__xludf.DUMMYFUNCTION("""COMPUTED_VALUE"""),45979)</f>
        <v>45979</v>
      </c>
      <c r="I34" s="257">
        <f>IFERROR(__xludf.DUMMYFUNCTION("""COMPUTED_VALUE"""),50504000)</f>
        <v>50504000</v>
      </c>
      <c r="J34" s="257">
        <f>IFERROR(__xludf.DUMMYFUNCTION("""COMPUTED_VALUE"""),47548000)</f>
        <v>47548000</v>
      </c>
      <c r="K34" s="258">
        <f>IFERROR(__xludf.DUMMYFUNCTION("""COMPUTED_VALUE"""),46016)</f>
        <v>46016</v>
      </c>
      <c r="L34" s="259">
        <f>IFERROR(__xludf.DUMMYFUNCTION("""COMPUTED_VALUE"""),47548000)</f>
        <v>47548000</v>
      </c>
      <c r="M34" s="258">
        <f>IFERROR(__xludf.DUMMYFUNCTION("""COMPUTED_VALUE"""),46009)</f>
        <v>46009</v>
      </c>
      <c r="N34" s="259">
        <f>IFERROR(__xludf.DUMMYFUNCTION("""COMPUTED_VALUE"""),47548000)</f>
        <v>47548000</v>
      </c>
      <c r="O34" s="258">
        <f>IFERROR(__xludf.DUMMYFUNCTION("""COMPUTED_VALUE"""),46177)</f>
        <v>46177</v>
      </c>
      <c r="P34" s="259">
        <f>IFERROR(__xludf.DUMMYFUNCTION("""COMPUTED_VALUE"""),47548000)</f>
        <v>47548000</v>
      </c>
      <c r="Q34" s="260">
        <f>IFERROR(__xludf.DUMMYFUNCTION("""COMPUTED_VALUE"""),0)</f>
        <v>0</v>
      </c>
      <c r="R34" s="260">
        <f>IFERROR(__xludf.DUMMYFUNCTION("""COMPUTED_VALUE"""),47548000)</f>
        <v>47548000</v>
      </c>
      <c r="S34" s="261" t="str">
        <f>IFERROR(__xludf.DUMMYFUNCTION("""COMPUTED_VALUE"""),"Invoice")</f>
        <v>Invoice</v>
      </c>
      <c r="T34" s="261"/>
    </row>
    <row r="35" customHeight="1" spans="1:20">
      <c r="A35" s="255">
        <f>IFERROR(__xludf.DUMMYFUNCTION("""COMPUTED_VALUE"""),34)</f>
        <v>34</v>
      </c>
      <c r="B35" s="255" t="str">
        <f>IFERROR(__xludf.DUMMYFUNCTION("""COMPUTED_VALUE"""),"Survey Pemetaan, Desain Siteplan Lokasi Bor KRG-PB4, KRG-PB6, dan KRG-PB7 (Reposisi)")</f>
        <v>Survey Pemetaan, Desain Siteplan Lokasi Bor KRG-PB4, KRG-PB6, dan KRG-PB7 (Reposisi)</v>
      </c>
      <c r="C35" s="255" t="str">
        <f>IFERROR(__xludf.DUMMYFUNCTION("""COMPUTED_VALUE"""),"Karangan")</f>
        <v>Karangan</v>
      </c>
      <c r="D35" s="255" t="str">
        <f>IFERROR(__xludf.DUMMYFUNCTION("""COMPUTED_VALUE"""),"109/PHR72410/2025-S0")</f>
        <v>109/PHR72410/2025-S0</v>
      </c>
      <c r="E35" s="255">
        <f>IFERROR(__xludf.DUMMYFUNCTION("""COMPUTED_VALUE"""),42)</f>
        <v>42</v>
      </c>
      <c r="F35" s="255">
        <f>IFERROR(__xludf.DUMMYFUNCTION("""COMPUTED_VALUE"""),6.74)</f>
        <v>6.74</v>
      </c>
      <c r="G35" s="256">
        <f>IFERROR(__xludf.DUMMYFUNCTION("""COMPUTED_VALUE"""),45938)</f>
        <v>45938</v>
      </c>
      <c r="H35" s="256">
        <f>IFERROR(__xludf.DUMMYFUNCTION("""COMPUTED_VALUE"""),45979)</f>
        <v>45979</v>
      </c>
      <c r="I35" s="257">
        <f>IFERROR(__xludf.DUMMYFUNCTION("""COMPUTED_VALUE"""),46130000)</f>
        <v>46130000</v>
      </c>
      <c r="J35" s="257">
        <f>IFERROR(__xludf.DUMMYFUNCTION("""COMPUTED_VALUE"""),54647000)</f>
        <v>54647000</v>
      </c>
      <c r="K35" s="258">
        <f>IFERROR(__xludf.DUMMYFUNCTION("""COMPUTED_VALUE"""),46016)</f>
        <v>46016</v>
      </c>
      <c r="L35" s="259">
        <f>IFERROR(__xludf.DUMMYFUNCTION("""COMPUTED_VALUE"""),54647000)</f>
        <v>54647000</v>
      </c>
      <c r="M35" s="258">
        <f>IFERROR(__xludf.DUMMYFUNCTION("""COMPUTED_VALUE"""),46009)</f>
        <v>46009</v>
      </c>
      <c r="N35" s="259">
        <f>IFERROR(__xludf.DUMMYFUNCTION("""COMPUTED_VALUE"""),54647000)</f>
        <v>54647000</v>
      </c>
      <c r="O35" s="258">
        <f>IFERROR(__xludf.DUMMYFUNCTION("""COMPUTED_VALUE"""),46121)</f>
        <v>46121</v>
      </c>
      <c r="P35" s="259">
        <f>IFERROR(__xludf.DUMMYFUNCTION("""COMPUTED_VALUE"""),54647000)</f>
        <v>54647000</v>
      </c>
      <c r="Q35" s="259">
        <f>IFERROR(__xludf.DUMMYFUNCTION("""COMPUTED_VALUE"""),0)</f>
        <v>0</v>
      </c>
      <c r="R35" s="260">
        <f>IFERROR(__xludf.DUMMYFUNCTION("""COMPUTED_VALUE"""),54647000)</f>
        <v>54647000</v>
      </c>
      <c r="S35" s="261" t="str">
        <f>IFERROR(__xludf.DUMMYFUNCTION("""COMPUTED_VALUE"""),"Invoice")</f>
        <v>Invoice</v>
      </c>
      <c r="T35" s="261"/>
    </row>
    <row r="36" customHeight="1" spans="1:20">
      <c r="A36" s="255">
        <f>IFERROR(__xludf.DUMMYFUNCTION("""COMPUTED_VALUE"""),35)</f>
        <v>35</v>
      </c>
      <c r="B36" s="255" t="str">
        <f>IFERROR(__xludf.DUMMYFUNCTION("""COMPUTED_VALUE"""),"Pembuatan Desain Siteplan Area 1 dan Area 2 di Pertamina EP Zona 4")</f>
        <v>Pembuatan Desain Siteplan Area 1 dan Area 2 di Pertamina EP Zona 4</v>
      </c>
      <c r="C36" s="255" t="str">
        <f>IFERROR(__xludf.DUMMYFUNCTION("""COMPUTED_VALUE"""),"AREA")</f>
        <v>AREA</v>
      </c>
      <c r="D36" s="255" t="str">
        <f>IFERROR(__xludf.DUMMYFUNCTION("""COMPUTED_VALUE"""),"108/PHR72410/2025-S0")</f>
        <v>108/PHR72410/2025-S0</v>
      </c>
      <c r="E36" s="255">
        <f>IFERROR(__xludf.DUMMYFUNCTION("""COMPUTED_VALUE"""),14)</f>
        <v>14</v>
      </c>
      <c r="F36" s="255">
        <f>IFERROR(__xludf.DUMMYFUNCTION("""COMPUTED_VALUE"""),0)</f>
        <v>0</v>
      </c>
      <c r="G36" s="256">
        <f>IFERROR(__xludf.DUMMYFUNCTION("""COMPUTED_VALUE"""),45940)</f>
        <v>45940</v>
      </c>
      <c r="H36" s="256">
        <f>IFERROR(__xludf.DUMMYFUNCTION("""COMPUTED_VALUE"""),45953)</f>
        <v>45953</v>
      </c>
      <c r="I36" s="257">
        <f>IFERROR(__xludf.DUMMYFUNCTION("""COMPUTED_VALUE"""),38051000)</f>
        <v>38051000</v>
      </c>
      <c r="J36" s="257">
        <f>IFERROR(__xludf.DUMMYFUNCTION("""COMPUTED_VALUE"""),26972000)</f>
        <v>26972000</v>
      </c>
      <c r="K36" s="258">
        <f>IFERROR(__xludf.DUMMYFUNCTION("""COMPUTED_VALUE"""),46016)</f>
        <v>46016</v>
      </c>
      <c r="L36" s="259">
        <f>IFERROR(__xludf.DUMMYFUNCTION("""COMPUTED_VALUE"""),26972000)</f>
        <v>26972000</v>
      </c>
      <c r="M36" s="258">
        <f>IFERROR(__xludf.DUMMYFUNCTION("""COMPUTED_VALUE"""),46009)</f>
        <v>46009</v>
      </c>
      <c r="N36" s="259">
        <f>IFERROR(__xludf.DUMMYFUNCTION("""COMPUTED_VALUE"""),26972000)</f>
        <v>26972000</v>
      </c>
      <c r="O36" s="258">
        <f>IFERROR(__xludf.DUMMYFUNCTION("""COMPUTED_VALUE"""),46241)</f>
        <v>46241</v>
      </c>
      <c r="P36" s="259">
        <f>IFERROR(__xludf.DUMMYFUNCTION("""COMPUTED_VALUE"""),26972000)</f>
        <v>26972000</v>
      </c>
      <c r="Q36" s="260">
        <f>IFERROR(__xludf.DUMMYFUNCTION("""COMPUTED_VALUE"""),0)</f>
        <v>0</v>
      </c>
      <c r="R36" s="260">
        <f>IFERROR(__xludf.DUMMYFUNCTION("""COMPUTED_VALUE"""),26972000)</f>
        <v>26972000</v>
      </c>
      <c r="S36" s="261" t="str">
        <f>IFERROR(__xludf.DUMMYFUNCTION("""COMPUTED_VALUE"""),"Invoice")</f>
        <v>Invoice</v>
      </c>
      <c r="T36" s="261"/>
    </row>
    <row r="37" customHeight="1" spans="1:20">
      <c r="A37" s="255">
        <f>IFERROR(__xludf.DUMMYFUNCTION("""COMPUTED_VALUE"""),36)</f>
        <v>36</v>
      </c>
      <c r="B37" s="255" t="str">
        <f>IFERROR(__xludf.DUMMYFUNCTION("""COMPUTED_VALUE"""),"Survey Pemetaan, Desain Siteplan Lokasi Bor BKT-AW2")</f>
        <v>Survey Pemetaan, Desain Siteplan Lokasi Bor BKT-AW2</v>
      </c>
      <c r="C37" s="255" t="str">
        <f>IFERROR(__xludf.DUMMYFUNCTION("""COMPUTED_VALUE"""),"Benakat")</f>
        <v>Benakat</v>
      </c>
      <c r="D37" s="255" t="str">
        <f>IFERROR(__xludf.DUMMYFUNCTION("""COMPUTED_VALUE"""),"106/PHR72410/2025-S0")</f>
        <v>106/PHR72410/2025-S0</v>
      </c>
      <c r="E37" s="255">
        <f>IFERROR(__xludf.DUMMYFUNCTION("""COMPUTED_VALUE"""),42)</f>
        <v>42</v>
      </c>
      <c r="F37" s="255">
        <f>IFERROR(__xludf.DUMMYFUNCTION("""COMPUTED_VALUE"""),6.31)</f>
        <v>6.31</v>
      </c>
      <c r="G37" s="256">
        <f>IFERROR(__xludf.DUMMYFUNCTION("""COMPUTED_VALUE"""),45938)</f>
        <v>45938</v>
      </c>
      <c r="H37" s="256">
        <f>IFERROR(__xludf.DUMMYFUNCTION("""COMPUTED_VALUE"""),45979)</f>
        <v>45979</v>
      </c>
      <c r="I37" s="257">
        <f>IFERROR(__xludf.DUMMYFUNCTION("""COMPUTED_VALUE"""),59641000)</f>
        <v>59641000</v>
      </c>
      <c r="J37" s="257">
        <f>IFERROR(__xludf.DUMMYFUNCTION("""COMPUTED_VALUE"""),59881000)</f>
        <v>59881000</v>
      </c>
      <c r="K37" s="258">
        <f>IFERROR(__xludf.DUMMYFUNCTION("""COMPUTED_VALUE"""),46047)</f>
        <v>46047</v>
      </c>
      <c r="L37" s="259">
        <f>IFERROR(__xludf.DUMMYFUNCTION("""COMPUTED_VALUE"""),59881000)</f>
        <v>59881000</v>
      </c>
      <c r="M37" s="258">
        <f>IFERROR(__xludf.DUMMYFUNCTION("""COMPUTED_VALUE"""),46021)</f>
        <v>46021</v>
      </c>
      <c r="N37" s="259">
        <f>IFERROR(__xludf.DUMMYFUNCTION("""COMPUTED_VALUE"""),59881000)</f>
        <v>59881000</v>
      </c>
      <c r="O37" s="255"/>
      <c r="P37" s="255"/>
      <c r="Q37" s="255"/>
      <c r="R37" s="260">
        <f>IFERROR(__xludf.DUMMYFUNCTION("""COMPUTED_VALUE"""),0)</f>
        <v>0</v>
      </c>
      <c r="S37" s="261" t="str">
        <f>IFERROR(__xludf.DUMMYFUNCTION("""COMPUTED_VALUE"""),"Belum Invoice")</f>
        <v>Belum Invoice</v>
      </c>
      <c r="T37" s="261"/>
    </row>
    <row r="38" customHeight="1" spans="1:20">
      <c r="A38" s="255">
        <f>IFERROR(__xludf.DUMMYFUNCTION("""COMPUTED_VALUE"""),37)</f>
        <v>37</v>
      </c>
      <c r="B38" s="255" t="str">
        <f>IFERROR(__xludf.DUMMYFUNCTION("""COMPUTED_VALUE"""),"Survey Pemetaan, Desain Siteplan Lokasi Bor BKT-AW3")</f>
        <v>Survey Pemetaan, Desain Siteplan Lokasi Bor BKT-AW3</v>
      </c>
      <c r="C38" s="255" t="str">
        <f>IFERROR(__xludf.DUMMYFUNCTION("""COMPUTED_VALUE"""),"Benakat")</f>
        <v>Benakat</v>
      </c>
      <c r="D38" s="255" t="str">
        <f>IFERROR(__xludf.DUMMYFUNCTION("""COMPUTED_VALUE"""),"107/PHR72410/2025-S0")</f>
        <v>107/PHR72410/2025-S0</v>
      </c>
      <c r="E38" s="255">
        <f>IFERROR(__xludf.DUMMYFUNCTION("""COMPUTED_VALUE"""),42)</f>
        <v>42</v>
      </c>
      <c r="F38" s="255">
        <f>IFERROR(__xludf.DUMMYFUNCTION("""COMPUTED_VALUE"""),12.09)</f>
        <v>12.09</v>
      </c>
      <c r="G38" s="256">
        <f>IFERROR(__xludf.DUMMYFUNCTION("""COMPUTED_VALUE"""),45938)</f>
        <v>45938</v>
      </c>
      <c r="H38" s="256">
        <f>IFERROR(__xludf.DUMMYFUNCTION("""COMPUTED_VALUE"""),45979)</f>
        <v>45979</v>
      </c>
      <c r="I38" s="257">
        <f>IFERROR(__xludf.DUMMYFUNCTION("""COMPUTED_VALUE"""),126365000)</f>
        <v>126365000</v>
      </c>
      <c r="J38" s="257">
        <f>IFERROR(__xludf.DUMMYFUNCTION("""COMPUTED_VALUE"""),71506000)</f>
        <v>71506000</v>
      </c>
      <c r="K38" s="258">
        <f>IFERROR(__xludf.DUMMYFUNCTION("""COMPUTED_VALUE"""),46167)</f>
        <v>46167</v>
      </c>
      <c r="L38" s="259">
        <f>IFERROR(__xludf.DUMMYFUNCTION("""COMPUTED_VALUE"""),66808000)</f>
        <v>66808000</v>
      </c>
      <c r="M38" s="262">
        <f>IFERROR(__xludf.DUMMYFUNCTION("""COMPUTED_VALUE"""),46162)</f>
        <v>46162</v>
      </c>
      <c r="N38" s="259">
        <f>IFERROR(__xludf.DUMMYFUNCTION("""COMPUTED_VALUE"""),66808000)</f>
        <v>66808000</v>
      </c>
      <c r="O38" s="255"/>
      <c r="P38" s="255"/>
      <c r="Q38" s="255"/>
      <c r="R38" s="260">
        <f>IFERROR(__xludf.DUMMYFUNCTION("""COMPUTED_VALUE"""),0)</f>
        <v>0</v>
      </c>
      <c r="S38" s="261" t="str">
        <f>IFERROR(__xludf.DUMMYFUNCTION("""COMPUTED_VALUE"""),"Belum Invoice")</f>
        <v>Belum Invoice</v>
      </c>
      <c r="T38" s="261"/>
    </row>
    <row r="39" customHeight="1" spans="1:20">
      <c r="A39" s="255">
        <f>IFERROR(__xludf.DUMMYFUNCTION("""COMPUTED_VALUE"""),38)</f>
        <v>38</v>
      </c>
      <c r="B39" s="255" t="str">
        <f>IFERROR(__xludf.DUMMYFUNCTION("""COMPUTED_VALUE"""),"Survey Pemetaan, Desain Siteplan Lokasi BNG-B9")</f>
        <v>Survey Pemetaan, Desain Siteplan Lokasi BNG-B9</v>
      </c>
      <c r="C39" s="255" t="str">
        <f>IFERROR(__xludf.DUMMYFUNCTION("""COMPUTED_VALUE"""),"Benuang")</f>
        <v>Benuang</v>
      </c>
      <c r="D39" s="255" t="str">
        <f>IFERROR(__xludf.DUMMYFUNCTION("""COMPUTED_VALUE"""),"112/PHR72410/2025-S0")</f>
        <v>112/PHR72410/2025-S0</v>
      </c>
      <c r="E39" s="255">
        <f>IFERROR(__xludf.DUMMYFUNCTION("""COMPUTED_VALUE"""),42)</f>
        <v>42</v>
      </c>
      <c r="F39" s="255">
        <f>IFERROR(__xludf.DUMMYFUNCTION("""COMPUTED_VALUE"""),14.78)</f>
        <v>14.78</v>
      </c>
      <c r="G39" s="256">
        <f>IFERROR(__xludf.DUMMYFUNCTION("""COMPUTED_VALUE"""),45940)</f>
        <v>45940</v>
      </c>
      <c r="H39" s="256">
        <f>IFERROR(__xludf.DUMMYFUNCTION("""COMPUTED_VALUE"""),45981)</f>
        <v>45981</v>
      </c>
      <c r="I39" s="257">
        <f>IFERROR(__xludf.DUMMYFUNCTION("""COMPUTED_VALUE"""),145270000)</f>
        <v>145270000</v>
      </c>
      <c r="J39" s="257">
        <f>IFERROR(__xludf.DUMMYFUNCTION("""COMPUTED_VALUE"""),129444000)</f>
        <v>129444000</v>
      </c>
      <c r="K39" s="258">
        <f>IFERROR(__xludf.DUMMYFUNCTION("""COMPUTED_VALUE"""),46167)</f>
        <v>46167</v>
      </c>
      <c r="L39" s="259">
        <f>IFERROR(__xludf.DUMMYFUNCTION("""COMPUTED_VALUE"""),129444000)</f>
        <v>129444000</v>
      </c>
      <c r="M39" s="262">
        <f>IFERROR(__xludf.DUMMYFUNCTION("""COMPUTED_VALUE"""),46162)</f>
        <v>46162</v>
      </c>
      <c r="N39" s="259">
        <f>IFERROR(__xludf.DUMMYFUNCTION("""COMPUTED_VALUE"""),129444000)</f>
        <v>129444000</v>
      </c>
      <c r="O39" s="255"/>
      <c r="P39" s="255"/>
      <c r="Q39" s="255"/>
      <c r="R39" s="260">
        <f>IFERROR(__xludf.DUMMYFUNCTION("""COMPUTED_VALUE"""),0)</f>
        <v>0</v>
      </c>
      <c r="S39" s="261" t="str">
        <f>IFERROR(__xludf.DUMMYFUNCTION("""COMPUTED_VALUE"""),"Belum Invoice")</f>
        <v>Belum Invoice</v>
      </c>
      <c r="T39" s="261"/>
    </row>
    <row r="40" customHeight="1" spans="1:20">
      <c r="A40" s="255">
        <f>IFERROR(__xludf.DUMMYFUNCTION("""COMPUTED_VALUE"""),39)</f>
        <v>39</v>
      </c>
      <c r="B40" s="255" t="str">
        <f>IFERROR(__xludf.DUMMYFUNCTION("""COMPUTED_VALUE"""),"Survey Pemetaan, Desain Siteplan Lokasi GNK-PD77")</f>
        <v>Survey Pemetaan, Desain Siteplan Lokasi GNK-PD77</v>
      </c>
      <c r="C40" s="255" t="str">
        <f>IFERROR(__xludf.DUMMYFUNCTION("""COMPUTED_VALUE"""),"Gunung Kemala")</f>
        <v>Gunung Kemala</v>
      </c>
      <c r="D40" s="255" t="str">
        <f>IFERROR(__xludf.DUMMYFUNCTION("""COMPUTED_VALUE"""),"114/PHR72410/2025-S0")</f>
        <v>114/PHR72410/2025-S0</v>
      </c>
      <c r="E40" s="255">
        <f>IFERROR(__xludf.DUMMYFUNCTION("""COMPUTED_VALUE"""),42)</f>
        <v>42</v>
      </c>
      <c r="F40" s="255">
        <f>IFERROR(__xludf.DUMMYFUNCTION("""COMPUTED_VALUE"""),9.7)</f>
        <v>9.7</v>
      </c>
      <c r="G40" s="256">
        <f>IFERROR(__xludf.DUMMYFUNCTION("""COMPUTED_VALUE"""),45940)</f>
        <v>45940</v>
      </c>
      <c r="H40" s="256">
        <f>IFERROR(__xludf.DUMMYFUNCTION("""COMPUTED_VALUE"""),45981)</f>
        <v>45981</v>
      </c>
      <c r="I40" s="257">
        <f>IFERROR(__xludf.DUMMYFUNCTION("""COMPUTED_VALUE"""),70604000)</f>
        <v>70604000</v>
      </c>
      <c r="J40" s="257">
        <f>IFERROR(__xludf.DUMMYFUNCTION("""COMPUTED_VALUE"""),47139000)</f>
        <v>47139000</v>
      </c>
      <c r="K40" s="258">
        <f>IFERROR(__xludf.DUMMYFUNCTION("""COMPUTED_VALUE"""),46016)</f>
        <v>46016</v>
      </c>
      <c r="L40" s="259">
        <f>IFERROR(__xludf.DUMMYFUNCTION("""COMPUTED_VALUE"""),32953000)</f>
        <v>32953000</v>
      </c>
      <c r="M40" s="258">
        <f>IFERROR(__xludf.DUMMYFUNCTION("""COMPUTED_VALUE"""),46009)</f>
        <v>46009</v>
      </c>
      <c r="N40" s="259">
        <f>IFERROR(__xludf.DUMMYFUNCTION("""COMPUTED_VALUE"""),32953000)</f>
        <v>32953000</v>
      </c>
      <c r="O40" s="258">
        <f>IFERROR(__xludf.DUMMYFUNCTION("""COMPUTED_VALUE"""),46241)</f>
        <v>46241</v>
      </c>
      <c r="P40" s="259">
        <f>IFERROR(__xludf.DUMMYFUNCTION("""COMPUTED_VALUE"""),47139000)</f>
        <v>47139000</v>
      </c>
      <c r="Q40" s="260">
        <f>IFERROR(__xludf.DUMMYFUNCTION("""COMPUTED_VALUE"""),0)</f>
        <v>0</v>
      </c>
      <c r="R40" s="260">
        <f>IFERROR(__xludf.DUMMYFUNCTION("""COMPUTED_VALUE"""),47139000)</f>
        <v>47139000</v>
      </c>
      <c r="S40" s="261" t="str">
        <f>IFERROR(__xludf.DUMMYFUNCTION("""COMPUTED_VALUE"""),"Invoice")</f>
        <v>Invoice</v>
      </c>
      <c r="T40" s="261"/>
    </row>
    <row r="41" customHeight="1" spans="1:20">
      <c r="A41" s="255">
        <f>IFERROR(__xludf.DUMMYFUNCTION("""COMPUTED_VALUE"""),40)</f>
        <v>40</v>
      </c>
      <c r="B41" s="255" t="str">
        <f>IFERROR(__xludf.DUMMYFUNCTION("""COMPUTED_VALUE"""),"Survey Pemetaan, Desain Siteplan Lokasi NRB-B")</f>
        <v>Survey Pemetaan, Desain Siteplan Lokasi NRB-B</v>
      </c>
      <c r="C41" s="255" t="str">
        <f>IFERROR(__xludf.DUMMYFUNCTION("""COMPUTED_VALUE"""),"NIRU")</f>
        <v>NIRU</v>
      </c>
      <c r="D41" s="255" t="str">
        <f>IFERROR(__xludf.DUMMYFUNCTION("""COMPUTED_VALUE"""),"115/PHR72410/2025-S0")</f>
        <v>115/PHR72410/2025-S0</v>
      </c>
      <c r="E41" s="255">
        <f>IFERROR(__xludf.DUMMYFUNCTION("""COMPUTED_VALUE"""),42)</f>
        <v>42</v>
      </c>
      <c r="F41" s="255">
        <f>IFERROR(__xludf.DUMMYFUNCTION("""COMPUTED_VALUE"""),7.75)</f>
        <v>7.75</v>
      </c>
      <c r="G41" s="256">
        <f>IFERROR(__xludf.DUMMYFUNCTION("""COMPUTED_VALUE"""),45940)</f>
        <v>45940</v>
      </c>
      <c r="H41" s="256">
        <f>IFERROR(__xludf.DUMMYFUNCTION("""COMPUTED_VALUE"""),45981)</f>
        <v>45981</v>
      </c>
      <c r="I41" s="257">
        <f>IFERROR(__xludf.DUMMYFUNCTION("""COMPUTED_VALUE"""),64794000)</f>
        <v>64794000</v>
      </c>
      <c r="J41" s="257">
        <f>IFERROR(__xludf.DUMMYFUNCTION("""COMPUTED_VALUE"""),64277000)</f>
        <v>64277000</v>
      </c>
      <c r="K41" s="258">
        <f>IFERROR(__xludf.DUMMYFUNCTION("""COMPUTED_VALUE"""),46016)</f>
        <v>46016</v>
      </c>
      <c r="L41" s="259">
        <f>IFERROR(__xludf.DUMMYFUNCTION("""COMPUTED_VALUE"""),64277000)</f>
        <v>64277000</v>
      </c>
      <c r="M41" s="258">
        <f>IFERROR(__xludf.DUMMYFUNCTION("""COMPUTED_VALUE"""),46009)</f>
        <v>46009</v>
      </c>
      <c r="N41" s="259">
        <f>IFERROR(__xludf.DUMMYFUNCTION("""COMPUTED_VALUE"""),64277000)</f>
        <v>64277000</v>
      </c>
      <c r="O41" s="258">
        <f>IFERROR(__xludf.DUMMYFUNCTION("""COMPUTED_VALUE"""),46241)</f>
        <v>46241</v>
      </c>
      <c r="P41" s="259">
        <f>IFERROR(__xludf.DUMMYFUNCTION("""COMPUTED_VALUE"""),64277000)</f>
        <v>64277000</v>
      </c>
      <c r="Q41" s="260">
        <f>IFERROR(__xludf.DUMMYFUNCTION("""COMPUTED_VALUE"""),0)</f>
        <v>0</v>
      </c>
      <c r="R41" s="260">
        <f>IFERROR(__xludf.DUMMYFUNCTION("""COMPUTED_VALUE"""),64277000)</f>
        <v>64277000</v>
      </c>
      <c r="S41" s="261" t="str">
        <f>IFERROR(__xludf.DUMMYFUNCTION("""COMPUTED_VALUE"""),"Invoice")</f>
        <v>Invoice</v>
      </c>
      <c r="T41" s="261"/>
    </row>
    <row r="42" customHeight="1" spans="1:20">
      <c r="A42" s="255">
        <f>IFERROR(__xludf.DUMMYFUNCTION("""COMPUTED_VALUE"""),41)</f>
        <v>41</v>
      </c>
      <c r="B42" s="255" t="str">
        <f>IFERROR(__xludf.DUMMYFUNCTION("""COMPUTED_VALUE"""),"Survey Pemetaan, Desain Siteplan Lokasi ABB-A5")</f>
        <v>Survey Pemetaan, Desain Siteplan Lokasi ABB-A5</v>
      </c>
      <c r="C42" s="255" t="str">
        <f>IFERROR(__xludf.DUMMYFUNCTION("""COMPUTED_VALUE"""),"ABAB")</f>
        <v>ABAB</v>
      </c>
      <c r="D42" s="255" t="str">
        <f>IFERROR(__xludf.DUMMYFUNCTION("""COMPUTED_VALUE"""),"113/PHR72410/2025-S0")</f>
        <v>113/PHR72410/2025-S0</v>
      </c>
      <c r="E42" s="255">
        <f>IFERROR(__xludf.DUMMYFUNCTION("""COMPUTED_VALUE"""),42)</f>
        <v>42</v>
      </c>
      <c r="F42" s="255">
        <f>IFERROR(__xludf.DUMMYFUNCTION("""COMPUTED_VALUE"""),10.31)</f>
        <v>10.31</v>
      </c>
      <c r="G42" s="256">
        <f>IFERROR(__xludf.DUMMYFUNCTION("""COMPUTED_VALUE"""),45940)</f>
        <v>45940</v>
      </c>
      <c r="H42" s="256">
        <f>IFERROR(__xludf.DUMMYFUNCTION("""COMPUTED_VALUE"""),45981)</f>
        <v>45981</v>
      </c>
      <c r="I42" s="257">
        <f>IFERROR(__xludf.DUMMYFUNCTION("""COMPUTED_VALUE"""),93566000)</f>
        <v>93566000</v>
      </c>
      <c r="J42" s="257">
        <f>IFERROR(__xludf.DUMMYFUNCTION("""COMPUTED_VALUE"""),84654000)</f>
        <v>84654000</v>
      </c>
      <c r="K42" s="258">
        <f>IFERROR(__xludf.DUMMYFUNCTION("""COMPUTED_VALUE"""),46016)</f>
        <v>46016</v>
      </c>
      <c r="L42" s="259">
        <f>IFERROR(__xludf.DUMMYFUNCTION("""COMPUTED_VALUE"""),84833000)</f>
        <v>84833000</v>
      </c>
      <c r="M42" s="258">
        <f>IFERROR(__xludf.DUMMYFUNCTION("""COMPUTED_VALUE"""),46009)</f>
        <v>46009</v>
      </c>
      <c r="N42" s="259">
        <f>IFERROR(__xludf.DUMMYFUNCTION("""COMPUTED_VALUE"""),84833000)</f>
        <v>84833000</v>
      </c>
      <c r="O42" s="255"/>
      <c r="P42" s="259">
        <f>IFERROR(__xludf.DUMMYFUNCTION("""COMPUTED_VALUE"""),84654000)</f>
        <v>84654000</v>
      </c>
      <c r="Q42" s="255"/>
      <c r="R42" s="260">
        <f>IFERROR(__xludf.DUMMYFUNCTION("""COMPUTED_VALUE"""),84654000)</f>
        <v>84654000</v>
      </c>
      <c r="S42" s="261" t="str">
        <f>IFERROR(__xludf.DUMMYFUNCTION("""COMPUTED_VALUE"""),"Invoice")</f>
        <v>Invoice</v>
      </c>
      <c r="T42" s="261"/>
    </row>
    <row r="43" customHeight="1" spans="1:20">
      <c r="A43" s="255">
        <f>IFERROR(__xludf.DUMMYFUNCTION("""COMPUTED_VALUE"""),42)</f>
        <v>42</v>
      </c>
      <c r="B43" s="255" t="str">
        <f>IFERROR(__xludf.DUMMYFUNCTION("""COMPUTED_VALUE"""),"Survey Topography Fasilitas Produksi Flowline BNG-A12, Adera Field")</f>
        <v>Survey Topography Fasilitas Produksi Flowline BNG-A12, Adera Field</v>
      </c>
      <c r="C43" s="255" t="str">
        <f>IFERROR(__xludf.DUMMYFUNCTION("""COMPUTED_VALUE"""),"BENUANG")</f>
        <v>BENUANG</v>
      </c>
      <c r="D43" s="255" t="str">
        <f>IFERROR(__xludf.DUMMYFUNCTION("""COMPUTED_VALUE"""),"143/PHR72410/2025-S0")</f>
        <v>143/PHR72410/2025-S0</v>
      </c>
      <c r="E43" s="255">
        <f>IFERROR(__xludf.DUMMYFUNCTION("""COMPUTED_VALUE"""),42)</f>
        <v>42</v>
      </c>
      <c r="F43" s="255">
        <f>IFERROR(__xludf.DUMMYFUNCTION("""COMPUTED_VALUE"""),1.98)</f>
        <v>1.98</v>
      </c>
      <c r="G43" s="256">
        <f>IFERROR(__xludf.DUMMYFUNCTION("""COMPUTED_VALUE"""),45968)</f>
        <v>45968</v>
      </c>
      <c r="H43" s="256">
        <f>IFERROR(__xludf.DUMMYFUNCTION("""COMPUTED_VALUE"""),46009)</f>
        <v>46009</v>
      </c>
      <c r="I43" s="257">
        <f>IFERROR(__xludf.DUMMYFUNCTION("""COMPUTED_VALUE"""),34336000)</f>
        <v>34336000</v>
      </c>
      <c r="J43" s="257">
        <f>IFERROR(__xludf.DUMMYFUNCTION("""COMPUTED_VALUE"""),31003000)</f>
        <v>31003000</v>
      </c>
      <c r="K43" s="258">
        <f>IFERROR(__xludf.DUMMYFUNCTION("""COMPUTED_VALUE"""),46106)</f>
        <v>46106</v>
      </c>
      <c r="L43" s="259">
        <f>IFERROR(__xludf.DUMMYFUNCTION("""COMPUTED_VALUE"""),30774000)</f>
        <v>30774000</v>
      </c>
      <c r="M43" s="258">
        <f>IFERROR(__xludf.DUMMYFUNCTION("""COMPUTED_VALUE"""),46077)</f>
        <v>46077</v>
      </c>
      <c r="N43" s="259">
        <f>IFERROR(__xludf.DUMMYFUNCTION("""COMPUTED_VALUE"""),30774000)</f>
        <v>30774000</v>
      </c>
      <c r="O43" s="258">
        <f>IFERROR(__xludf.DUMMYFUNCTION("""COMPUTED_VALUE"""),46177)</f>
        <v>46177</v>
      </c>
      <c r="P43" s="259">
        <f>IFERROR(__xludf.DUMMYFUNCTION("""COMPUTED_VALUE"""),31003000)</f>
        <v>31003000</v>
      </c>
      <c r="Q43" s="260">
        <f>IFERROR(__xludf.DUMMYFUNCTION("""COMPUTED_VALUE"""),0)</f>
        <v>0</v>
      </c>
      <c r="R43" s="260">
        <f>IFERROR(__xludf.DUMMYFUNCTION("""COMPUTED_VALUE"""),31003000)</f>
        <v>31003000</v>
      </c>
      <c r="S43" s="261" t="str">
        <f>IFERROR(__xludf.DUMMYFUNCTION("""COMPUTED_VALUE"""),"Invoice")</f>
        <v>Invoice</v>
      </c>
      <c r="T43" s="261"/>
    </row>
    <row r="44" customHeight="1" spans="1:20">
      <c r="A44" s="255">
        <f>IFERROR(__xludf.DUMMYFUNCTION("""COMPUTED_VALUE"""),43)</f>
        <v>43</v>
      </c>
      <c r="B44" s="255" t="str">
        <f>IFERROR(__xludf.DUMMYFUNCTION("""COMPUTED_VALUE"""),"Survey Pemetaan, Desain Siteplan Lokasi LKT-02, Prabumulih Field")</f>
        <v>Survey Pemetaan, Desain Siteplan Lokasi LKT-02, Prabumulih Field</v>
      </c>
      <c r="C44" s="255" t="str">
        <f>IFERROR(__xludf.DUMMYFUNCTION("""COMPUTED_VALUE"""),"Lembak")</f>
        <v>Lembak</v>
      </c>
      <c r="D44" s="255" t="str">
        <f>IFERROR(__xludf.DUMMYFUNCTION("""COMPUTED_VALUE"""),"138/PHR72410/2025-S0")</f>
        <v>138/PHR72410/2025-S0</v>
      </c>
      <c r="E44" s="255">
        <f>IFERROR(__xludf.DUMMYFUNCTION("""COMPUTED_VALUE"""),37)</f>
        <v>37</v>
      </c>
      <c r="F44" s="255">
        <f>IFERROR(__xludf.DUMMYFUNCTION("""COMPUTED_VALUE"""),2.65)</f>
        <v>2.65</v>
      </c>
      <c r="G44" s="256">
        <f>IFERROR(__xludf.DUMMYFUNCTION("""COMPUTED_VALUE"""),45968)</f>
        <v>45968</v>
      </c>
      <c r="H44" s="256">
        <f>IFERROR(__xludf.DUMMYFUNCTION("""COMPUTED_VALUE"""),46004)</f>
        <v>46004</v>
      </c>
      <c r="I44" s="257">
        <f>IFERROR(__xludf.DUMMYFUNCTION("""COMPUTED_VALUE"""),36351000)</f>
        <v>36351000</v>
      </c>
      <c r="J44" s="257">
        <f>IFERROR(__xludf.DUMMYFUNCTION("""COMPUTED_VALUE"""),35466000)</f>
        <v>35466000</v>
      </c>
      <c r="K44" s="258">
        <f>IFERROR(__xludf.DUMMYFUNCTION("""COMPUTED_VALUE"""),46016)</f>
        <v>46016</v>
      </c>
      <c r="L44" s="259">
        <f>IFERROR(__xludf.DUMMYFUNCTION("""COMPUTED_VALUE"""),35466000)</f>
        <v>35466000</v>
      </c>
      <c r="M44" s="258">
        <f>IFERROR(__xludf.DUMMYFUNCTION("""COMPUTED_VALUE"""),46009)</f>
        <v>46009</v>
      </c>
      <c r="N44" s="259">
        <f>IFERROR(__xludf.DUMMYFUNCTION("""COMPUTED_VALUE"""),35466000)</f>
        <v>35466000</v>
      </c>
      <c r="O44" s="258">
        <f>IFERROR(__xludf.DUMMYFUNCTION("""COMPUTED_VALUE"""),46212)</f>
        <v>46212</v>
      </c>
      <c r="P44" s="259">
        <f>IFERROR(__xludf.DUMMYFUNCTION("""COMPUTED_VALUE"""),35466000)</f>
        <v>35466000</v>
      </c>
      <c r="Q44" s="260">
        <f>IFERROR(__xludf.DUMMYFUNCTION("""COMPUTED_VALUE"""),0)</f>
        <v>0</v>
      </c>
      <c r="R44" s="260">
        <f>IFERROR(__xludf.DUMMYFUNCTION("""COMPUTED_VALUE"""),35466000)</f>
        <v>35466000</v>
      </c>
      <c r="S44" s="261" t="str">
        <f>IFERROR(__xludf.DUMMYFUNCTION("""COMPUTED_VALUE"""),"Invoice")</f>
        <v>Invoice</v>
      </c>
      <c r="T44" s="261"/>
    </row>
    <row r="45" customHeight="1" spans="1:20">
      <c r="A45" s="255">
        <f>IFERROR(__xludf.DUMMYFUNCTION("""COMPUTED_VALUE"""),44)</f>
        <v>44</v>
      </c>
      <c r="B45" s="255" t="str">
        <f>IFERROR(__xludf.DUMMYFUNCTION("""COMPUTED_VALUE"""),"Survey Pemetaan, Desain Siteplan Lokasi PMN-I")</f>
        <v>Survey Pemetaan, Desain Siteplan Lokasi PMN-I</v>
      </c>
      <c r="C45" s="255" t="str">
        <f>IFERROR(__xludf.DUMMYFUNCTION("""COMPUTED_VALUE"""),"Prabumenang")</f>
        <v>Prabumenang</v>
      </c>
      <c r="D45" s="255" t="str">
        <f>IFERROR(__xludf.DUMMYFUNCTION("""COMPUTED_VALUE"""),"141/PHR72410/2025-S0")</f>
        <v>141/PHR72410/2025-S0</v>
      </c>
      <c r="E45" s="255">
        <f>IFERROR(__xludf.DUMMYFUNCTION("""COMPUTED_VALUE"""),31)</f>
        <v>31</v>
      </c>
      <c r="F45" s="255">
        <f>IFERROR(__xludf.DUMMYFUNCTION("""COMPUTED_VALUE"""),2.35)</f>
        <v>2.35</v>
      </c>
      <c r="G45" s="256">
        <f>IFERROR(__xludf.DUMMYFUNCTION("""COMPUTED_VALUE"""),45968)</f>
        <v>45968</v>
      </c>
      <c r="H45" s="256">
        <f>IFERROR(__xludf.DUMMYFUNCTION("""COMPUTED_VALUE"""),45998)</f>
        <v>45998</v>
      </c>
      <c r="I45" s="257">
        <f>IFERROR(__xludf.DUMMYFUNCTION("""COMPUTED_VALUE"""),34304000)</f>
        <v>34304000</v>
      </c>
      <c r="J45" s="257">
        <f>IFERROR(__xludf.DUMMYFUNCTION("""COMPUTED_VALUE"""),33559000)</f>
        <v>33559000</v>
      </c>
      <c r="K45" s="258">
        <f>IFERROR(__xludf.DUMMYFUNCTION("""COMPUTED_VALUE"""),46047)</f>
        <v>46047</v>
      </c>
      <c r="L45" s="259">
        <f>IFERROR(__xludf.DUMMYFUNCTION("""COMPUTED_VALUE"""),33559000)</f>
        <v>33559000</v>
      </c>
      <c r="M45" s="258">
        <f>IFERROR(__xludf.DUMMYFUNCTION("""COMPUTED_VALUE"""),46021)</f>
        <v>46021</v>
      </c>
      <c r="N45" s="259">
        <f>IFERROR(__xludf.DUMMYFUNCTION("""COMPUTED_VALUE"""),33559000)</f>
        <v>33559000</v>
      </c>
      <c r="O45" s="258">
        <f>IFERROR(__xludf.DUMMYFUNCTION("""COMPUTED_VALUE"""),46177)</f>
        <v>46177</v>
      </c>
      <c r="P45" s="259">
        <f>IFERROR(__xludf.DUMMYFUNCTION("""COMPUTED_VALUE"""),33559000)</f>
        <v>33559000</v>
      </c>
      <c r="Q45" s="260">
        <f>IFERROR(__xludf.DUMMYFUNCTION("""COMPUTED_VALUE"""),0)</f>
        <v>0</v>
      </c>
      <c r="R45" s="260">
        <f>IFERROR(__xludf.DUMMYFUNCTION("""COMPUTED_VALUE"""),33559000)</f>
        <v>33559000</v>
      </c>
      <c r="S45" s="261" t="str">
        <f>IFERROR(__xludf.DUMMYFUNCTION("""COMPUTED_VALUE"""),"Invoice")</f>
        <v>Invoice</v>
      </c>
      <c r="T45" s="261"/>
    </row>
    <row r="46" customHeight="1" spans="1:20">
      <c r="A46" s="255">
        <f>IFERROR(__xludf.DUMMYFUNCTION("""COMPUTED_VALUE"""),45)</f>
        <v>45</v>
      </c>
      <c r="B46" s="255" t="str">
        <f>IFERROR(__xludf.DUMMYFUNCTION("""COMPUTED_VALUE"""),"Survey Pemetaan, Desain Siteplan Lokasi DWA-D1, Adera Field")</f>
        <v>Survey Pemetaan, Desain Siteplan Lokasi DWA-D1, Adera Field</v>
      </c>
      <c r="C46" s="255" t="str">
        <f>IFERROR(__xludf.DUMMYFUNCTION("""COMPUTED_VALUE"""),"Dewa")</f>
        <v>Dewa</v>
      </c>
      <c r="D46" s="255" t="str">
        <f>IFERROR(__xludf.DUMMYFUNCTION("""COMPUTED_VALUE"""),"140/PHR72410/2025-S0")</f>
        <v>140/PHR72410/2025-S0</v>
      </c>
      <c r="E46" s="255">
        <f>IFERROR(__xludf.DUMMYFUNCTION("""COMPUTED_VALUE"""),31)</f>
        <v>31</v>
      </c>
      <c r="F46" s="255">
        <f>IFERROR(__xludf.DUMMYFUNCTION("""COMPUTED_VALUE"""),6.59)</f>
        <v>6.59</v>
      </c>
      <c r="G46" s="256">
        <f>IFERROR(__xludf.DUMMYFUNCTION("""COMPUTED_VALUE"""),45968)</f>
        <v>45968</v>
      </c>
      <c r="H46" s="256">
        <f>IFERROR(__xludf.DUMMYFUNCTION("""COMPUTED_VALUE"""),45998)</f>
        <v>45998</v>
      </c>
      <c r="I46" s="257">
        <f>IFERROR(__xludf.DUMMYFUNCTION("""COMPUTED_VALUE"""),66160000)</f>
        <v>66160000</v>
      </c>
      <c r="J46" s="257">
        <f>IFERROR(__xludf.DUMMYFUNCTION("""COMPUTED_VALUE"""),54576000)</f>
        <v>54576000</v>
      </c>
      <c r="K46" s="258">
        <f>IFERROR(__xludf.DUMMYFUNCTION("""COMPUTED_VALUE"""),46047)</f>
        <v>46047</v>
      </c>
      <c r="L46" s="259">
        <f>IFERROR(__xludf.DUMMYFUNCTION("""COMPUTED_VALUE"""),54576000)</f>
        <v>54576000</v>
      </c>
      <c r="M46" s="258">
        <f>IFERROR(__xludf.DUMMYFUNCTION("""COMPUTED_VALUE"""),46021)</f>
        <v>46021</v>
      </c>
      <c r="N46" s="259">
        <f>IFERROR(__xludf.DUMMYFUNCTION("""COMPUTED_VALUE"""),54576000)</f>
        <v>54576000</v>
      </c>
      <c r="O46" s="258">
        <f>IFERROR(__xludf.DUMMYFUNCTION("""COMPUTED_VALUE"""),46241)</f>
        <v>46241</v>
      </c>
      <c r="P46" s="259">
        <f>IFERROR(__xludf.DUMMYFUNCTION("""COMPUTED_VALUE"""),54576000)</f>
        <v>54576000</v>
      </c>
      <c r="Q46" s="260">
        <f>IFERROR(__xludf.DUMMYFUNCTION("""COMPUTED_VALUE"""),0)</f>
        <v>0</v>
      </c>
      <c r="R46" s="260">
        <f>IFERROR(__xludf.DUMMYFUNCTION("""COMPUTED_VALUE"""),54576000)</f>
        <v>54576000</v>
      </c>
      <c r="S46" s="261" t="str">
        <f>IFERROR(__xludf.DUMMYFUNCTION("""COMPUTED_VALUE"""),"Invoice")</f>
        <v>Invoice</v>
      </c>
      <c r="T46" s="261"/>
    </row>
    <row r="47" customHeight="1" spans="1:20">
      <c r="A47" s="255">
        <f>IFERROR(__xludf.DUMMYFUNCTION("""COMPUTED_VALUE"""),46)</f>
        <v>46</v>
      </c>
      <c r="B47" s="255" t="str">
        <f>IFERROR(__xludf.DUMMYFUNCTION("""COMPUTED_VALUE"""),"Survey Pemetaan, Desain Siteplan Lokasi DWA-D3, Adera Field")</f>
        <v>Survey Pemetaan, Desain Siteplan Lokasi DWA-D3, Adera Field</v>
      </c>
      <c r="C47" s="255" t="str">
        <f>IFERROR(__xludf.DUMMYFUNCTION("""COMPUTED_VALUE"""),"Dewa")</f>
        <v>Dewa</v>
      </c>
      <c r="D47" s="255" t="str">
        <f>IFERROR(__xludf.DUMMYFUNCTION("""COMPUTED_VALUE"""),"139/PHR72410/2025-S0")</f>
        <v>139/PHR72410/2025-S0</v>
      </c>
      <c r="E47" s="255">
        <f>IFERROR(__xludf.DUMMYFUNCTION("""COMPUTED_VALUE"""),42)</f>
        <v>42</v>
      </c>
      <c r="F47" s="255">
        <f>IFERROR(__xludf.DUMMYFUNCTION("""COMPUTED_VALUE"""),7.46)</f>
        <v>7.46</v>
      </c>
      <c r="G47" s="256">
        <f>IFERROR(__xludf.DUMMYFUNCTION("""COMPUTED_VALUE"""),45968)</f>
        <v>45968</v>
      </c>
      <c r="H47" s="256">
        <f>IFERROR(__xludf.DUMMYFUNCTION("""COMPUTED_VALUE"""),46009)</f>
        <v>46009</v>
      </c>
      <c r="I47" s="257">
        <f>IFERROR(__xludf.DUMMYFUNCTION("""COMPUTED_VALUE"""),70688000)</f>
        <v>70688000</v>
      </c>
      <c r="J47" s="257">
        <f>IFERROR(__xludf.DUMMYFUNCTION("""COMPUTED_VALUE"""),67197000)</f>
        <v>67197000</v>
      </c>
      <c r="K47" s="258">
        <f>IFERROR(__xludf.DUMMYFUNCTION("""COMPUTED_VALUE"""),46016)</f>
        <v>46016</v>
      </c>
      <c r="L47" s="259">
        <f>IFERROR(__xludf.DUMMYFUNCTION("""COMPUTED_VALUE"""),67883000)</f>
        <v>67883000</v>
      </c>
      <c r="M47" s="258">
        <f>IFERROR(__xludf.DUMMYFUNCTION("""COMPUTED_VALUE"""),46021)</f>
        <v>46021</v>
      </c>
      <c r="N47" s="259">
        <f>IFERROR(__xludf.DUMMYFUNCTION("""COMPUTED_VALUE"""),67883000)</f>
        <v>67883000</v>
      </c>
      <c r="O47" s="258">
        <f>IFERROR(__xludf.DUMMYFUNCTION("""COMPUTED_VALUE"""),46241)</f>
        <v>46241</v>
      </c>
      <c r="P47" s="259">
        <f>IFERROR(__xludf.DUMMYFUNCTION("""COMPUTED_VALUE"""),67197000)</f>
        <v>67197000</v>
      </c>
      <c r="Q47" s="260">
        <f>IFERROR(__xludf.DUMMYFUNCTION("""COMPUTED_VALUE"""),0)</f>
        <v>0</v>
      </c>
      <c r="R47" s="260">
        <f>IFERROR(__xludf.DUMMYFUNCTION("""COMPUTED_VALUE"""),67197000)</f>
        <v>67197000</v>
      </c>
      <c r="S47" s="261" t="str">
        <f>IFERROR(__xludf.DUMMYFUNCTION("""COMPUTED_VALUE"""),"Invoice")</f>
        <v>Invoice</v>
      </c>
      <c r="T47" s="261"/>
    </row>
    <row r="48" customHeight="1" spans="1:20">
      <c r="A48" s="255">
        <f>IFERROR(__xludf.DUMMYFUNCTION("""COMPUTED_VALUE"""),47)</f>
        <v>47</v>
      </c>
      <c r="B48" s="255" t="str">
        <f>IFERROR(__xludf.DUMMYFUNCTION("""COMPUTED_VALUE"""),"Survey Topography Fasilitas Produksi Flowline ABB-SE1, Adera Field")</f>
        <v>Survey Topography Fasilitas Produksi Flowline ABB-SE1, Adera Field</v>
      </c>
      <c r="C48" s="255" t="str">
        <f>IFERROR(__xludf.DUMMYFUNCTION("""COMPUTED_VALUE"""),"Abab")</f>
        <v>Abab</v>
      </c>
      <c r="D48" s="255" t="str">
        <f>IFERROR(__xludf.DUMMYFUNCTION("""COMPUTED_VALUE"""),"149/PHR72410/2025-S0")</f>
        <v>149/PHR72410/2025-S0</v>
      </c>
      <c r="E48" s="255">
        <f>IFERROR(__xludf.DUMMYFUNCTION("""COMPUTED_VALUE"""),60)</f>
        <v>60</v>
      </c>
      <c r="F48" s="255">
        <f>IFERROR(__xludf.DUMMYFUNCTION("""COMPUTED_VALUE"""),9.12)</f>
        <v>9.12</v>
      </c>
      <c r="G48" s="256">
        <f>IFERROR(__xludf.DUMMYFUNCTION("""COMPUTED_VALUE"""),45978)</f>
        <v>45978</v>
      </c>
      <c r="H48" s="256">
        <f>IFERROR(__xludf.DUMMYFUNCTION("""COMPUTED_VALUE"""),46037)</f>
        <v>46037</v>
      </c>
      <c r="I48" s="257">
        <f>IFERROR(__xludf.DUMMYFUNCTION("""COMPUTED_VALUE"""),135468000)</f>
        <v>135468000</v>
      </c>
      <c r="J48" s="257">
        <f>IFERROR(__xludf.DUMMYFUNCTION("""COMPUTED_VALUE"""),125074000)</f>
        <v>125074000</v>
      </c>
      <c r="K48" s="258">
        <f>IFERROR(__xludf.DUMMYFUNCTION("""COMPUTED_VALUE"""),46137)</f>
        <v>46137</v>
      </c>
      <c r="L48" s="259">
        <f>IFERROR(__xludf.DUMMYFUNCTION("""COMPUTED_VALUE"""),125074000)</f>
        <v>125074000</v>
      </c>
      <c r="M48" s="258">
        <f>IFERROR(__xludf.DUMMYFUNCTION("""COMPUTED_VALUE"""),46094)</f>
        <v>46094</v>
      </c>
      <c r="N48" s="259">
        <f>IFERROR(__xludf.DUMMYFUNCTION("""COMPUTED_VALUE"""),125074000)</f>
        <v>125074000</v>
      </c>
      <c r="O48" s="255"/>
      <c r="P48" s="255"/>
      <c r="Q48" s="255"/>
      <c r="R48" s="260">
        <f>IFERROR(__xludf.DUMMYFUNCTION("""COMPUTED_VALUE"""),0)</f>
        <v>0</v>
      </c>
      <c r="S48" s="261" t="str">
        <f>IFERROR(__xludf.DUMMYFUNCTION("""COMPUTED_VALUE"""),"Belum Invoice")</f>
        <v>Belum Invoice</v>
      </c>
      <c r="T48" s="261"/>
    </row>
    <row r="49" customHeight="1" spans="1:20">
      <c r="A49" s="255">
        <f>IFERROR(__xludf.DUMMYFUNCTION("""COMPUTED_VALUE"""),48)</f>
        <v>48</v>
      </c>
      <c r="B49" s="255" t="str">
        <f>IFERROR(__xludf.DUMMYFUNCTION("""COMPUTED_VALUE"""),"Survey Topography Fasilitas Produksi Flowline ABB-SW02, Adera Field")</f>
        <v>Survey Topography Fasilitas Produksi Flowline ABB-SW02, Adera Field</v>
      </c>
      <c r="C49" s="255" t="str">
        <f>IFERROR(__xludf.DUMMYFUNCTION("""COMPUTED_VALUE"""),"Abab")</f>
        <v>Abab</v>
      </c>
      <c r="D49" s="255" t="str">
        <f>IFERROR(__xludf.DUMMYFUNCTION("""COMPUTED_VALUE"""),"148/PHR72410/2025-S0")</f>
        <v>148/PHR72410/2025-S0</v>
      </c>
      <c r="E49" s="255">
        <f>IFERROR(__xludf.DUMMYFUNCTION("""COMPUTED_VALUE"""),60)</f>
        <v>60</v>
      </c>
      <c r="F49" s="255">
        <f>IFERROR(__xludf.DUMMYFUNCTION("""COMPUTED_VALUE"""),9.79)</f>
        <v>9.79</v>
      </c>
      <c r="G49" s="256">
        <f>IFERROR(__xludf.DUMMYFUNCTION("""COMPUTED_VALUE"""),45978)</f>
        <v>45978</v>
      </c>
      <c r="H49" s="256">
        <f>IFERROR(__xludf.DUMMYFUNCTION("""COMPUTED_VALUE"""),46037)</f>
        <v>46037</v>
      </c>
      <c r="I49" s="257">
        <f>IFERROR(__xludf.DUMMYFUNCTION("""COMPUTED_VALUE"""),125278000)</f>
        <v>125278000</v>
      </c>
      <c r="J49" s="257">
        <f>IFERROR(__xludf.DUMMYFUNCTION("""COMPUTED_VALUE"""),95250000)</f>
        <v>95250000</v>
      </c>
      <c r="K49" s="258">
        <f>IFERROR(__xludf.DUMMYFUNCTION("""COMPUTED_VALUE"""),46016)</f>
        <v>46016</v>
      </c>
      <c r="L49" s="259">
        <f>IFERROR(__xludf.DUMMYFUNCTION("""COMPUTED_VALUE"""),92578000)</f>
        <v>92578000</v>
      </c>
      <c r="M49" s="258">
        <f>IFERROR(__xludf.DUMMYFUNCTION("""COMPUTED_VALUE"""),46021)</f>
        <v>46021</v>
      </c>
      <c r="N49" s="259">
        <f>IFERROR(__xludf.DUMMYFUNCTION("""COMPUTED_VALUE"""),92578000)</f>
        <v>92578000</v>
      </c>
      <c r="O49" s="255"/>
      <c r="P49" s="255"/>
      <c r="Q49" s="255"/>
      <c r="R49" s="260">
        <f>IFERROR(__xludf.DUMMYFUNCTION("""COMPUTED_VALUE"""),0)</f>
        <v>0</v>
      </c>
      <c r="S49" s="261" t="str">
        <f>IFERROR(__xludf.DUMMYFUNCTION("""COMPUTED_VALUE"""),"Belum Invoice")</f>
        <v>Belum Invoice</v>
      </c>
      <c r="T49" s="261"/>
    </row>
    <row r="50" customHeight="1" spans="1:20">
      <c r="A50" s="255">
        <f>IFERROR(__xludf.DUMMYFUNCTION("""COMPUTED_VALUE"""),49)</f>
        <v>49</v>
      </c>
      <c r="B50" s="255" t="str">
        <f>IFERROR(__xludf.DUMMYFUNCTION("""COMPUTED_VALUE"""),"Pekerjaan Stakeout BNG-D13, BNG-D18, BNG-D19, BNG-D20, &amp; BNG-D21")</f>
        <v>Pekerjaan Stakeout BNG-D13, BNG-D18, BNG-D19, BNG-D20, &amp; BNG-D21</v>
      </c>
      <c r="C50" s="255" t="str">
        <f>IFERROR(__xludf.DUMMYFUNCTION("""COMPUTED_VALUE"""),"Benuang")</f>
        <v>Benuang</v>
      </c>
      <c r="D50" s="255" t="str">
        <f>IFERROR(__xludf.DUMMYFUNCTION("""COMPUTED_VALUE"""),"151PHR72410/2025-S0")</f>
        <v>151PHR72410/2025-S0</v>
      </c>
      <c r="E50" s="255">
        <f>IFERROR(__xludf.DUMMYFUNCTION("""COMPUTED_VALUE"""),14)</f>
        <v>14</v>
      </c>
      <c r="F50" s="255">
        <f>IFERROR(__xludf.DUMMYFUNCTION("""COMPUTED_VALUE"""),0)</f>
        <v>0</v>
      </c>
      <c r="G50" s="256">
        <f>IFERROR(__xludf.DUMMYFUNCTION("""COMPUTED_VALUE"""),45992)</f>
        <v>45992</v>
      </c>
      <c r="H50" s="256">
        <f>IFERROR(__xludf.DUMMYFUNCTION("""COMPUTED_VALUE"""),46005)</f>
        <v>46005</v>
      </c>
      <c r="I50" s="257">
        <f>IFERROR(__xludf.DUMMYFUNCTION("""COMPUTED_VALUE"""),12553000)</f>
        <v>12553000</v>
      </c>
      <c r="J50" s="257">
        <f>IFERROR(__xludf.DUMMYFUNCTION("""COMPUTED_VALUE"""),14682000)</f>
        <v>14682000</v>
      </c>
      <c r="K50" s="258">
        <f>IFERROR(__xludf.DUMMYFUNCTION("""COMPUTED_VALUE"""),46016)</f>
        <v>46016</v>
      </c>
      <c r="L50" s="259">
        <f>IFERROR(__xludf.DUMMYFUNCTION("""COMPUTED_VALUE"""),14682000)</f>
        <v>14682000</v>
      </c>
      <c r="M50" s="258">
        <f>IFERROR(__xludf.DUMMYFUNCTION("""COMPUTED_VALUE"""),46009)</f>
        <v>46009</v>
      </c>
      <c r="N50" s="259">
        <f>IFERROR(__xludf.DUMMYFUNCTION("""COMPUTED_VALUE"""),14682000)</f>
        <v>14682000</v>
      </c>
      <c r="O50" s="255"/>
      <c r="P50" s="255"/>
      <c r="Q50" s="255"/>
      <c r="R50" s="260">
        <f>IFERROR(__xludf.DUMMYFUNCTION("""COMPUTED_VALUE"""),0)</f>
        <v>0</v>
      </c>
      <c r="S50" s="261" t="str">
        <f>IFERROR(__xludf.DUMMYFUNCTION("""COMPUTED_VALUE"""),"Belum Invoice")</f>
        <v>Belum Invoice</v>
      </c>
      <c r="T50" s="261"/>
    </row>
    <row r="51" customHeight="1" spans="1:20">
      <c r="A51" s="255">
        <f>IFERROR(__xludf.DUMMYFUNCTION("""COMPUTED_VALUE"""),50)</f>
        <v>50</v>
      </c>
      <c r="B51" s="255" t="str">
        <f>IFERROR(__xludf.DUMMYFUNCTION("""COMPUTED_VALUE"""),"Pembuatan Desain Siteplan &amp; Stakeout di Lokasi BNG-D14 &amp; BNG-D22")</f>
        <v>Pembuatan Desain Siteplan &amp; Stakeout di Lokasi BNG-D14 &amp; BNG-D22</v>
      </c>
      <c r="C51" s="255" t="str">
        <f>IFERROR(__xludf.DUMMYFUNCTION("""COMPUTED_VALUE"""),"Benuang")</f>
        <v>Benuang</v>
      </c>
      <c r="D51" s="255" t="str">
        <f>IFERROR(__xludf.DUMMYFUNCTION("""COMPUTED_VALUE"""),"159/PHR72410/2025-S0")</f>
        <v>159/PHR72410/2025-S0</v>
      </c>
      <c r="E51" s="255">
        <f>IFERROR(__xludf.DUMMYFUNCTION("""COMPUTED_VALUE"""),14)</f>
        <v>14</v>
      </c>
      <c r="F51" s="255">
        <f>IFERROR(__xludf.DUMMYFUNCTION("""COMPUTED_VALUE"""),0)</f>
        <v>0</v>
      </c>
      <c r="G51" s="256">
        <f>IFERROR(__xludf.DUMMYFUNCTION("""COMPUTED_VALUE"""),45992)</f>
        <v>45992</v>
      </c>
      <c r="H51" s="256">
        <f>IFERROR(__xludf.DUMMYFUNCTION("""COMPUTED_VALUE"""),46005)</f>
        <v>46005</v>
      </c>
      <c r="I51" s="257">
        <f>IFERROR(__xludf.DUMMYFUNCTION("""COMPUTED_VALUE"""),36364000)</f>
        <v>36364000</v>
      </c>
      <c r="J51" s="257">
        <f>IFERROR(__xludf.DUMMYFUNCTION("""COMPUTED_VALUE"""),24629000)</f>
        <v>24629000</v>
      </c>
      <c r="K51" s="258">
        <f>IFERROR(__xludf.DUMMYFUNCTION("""COMPUTED_VALUE"""),46016)</f>
        <v>46016</v>
      </c>
      <c r="L51" s="259">
        <f>IFERROR(__xludf.DUMMYFUNCTION("""COMPUTED_VALUE"""),24629000)</f>
        <v>24629000</v>
      </c>
      <c r="M51" s="258">
        <f>IFERROR(__xludf.DUMMYFUNCTION("""COMPUTED_VALUE"""),46009)</f>
        <v>46009</v>
      </c>
      <c r="N51" s="259">
        <f>IFERROR(__xludf.DUMMYFUNCTION("""COMPUTED_VALUE"""),24629000)</f>
        <v>24629000</v>
      </c>
      <c r="O51" s="258">
        <f>IFERROR(__xludf.DUMMYFUNCTION("""COMPUTED_VALUE"""),46241)</f>
        <v>46241</v>
      </c>
      <c r="P51" s="259">
        <f>IFERROR(__xludf.DUMMYFUNCTION("""COMPUTED_VALUE"""),20560000)</f>
        <v>20560000</v>
      </c>
      <c r="Q51" s="260">
        <f>IFERROR(__xludf.DUMMYFUNCTION("""COMPUTED_VALUE"""),0)</f>
        <v>0</v>
      </c>
      <c r="R51" s="260">
        <f>IFERROR(__xludf.DUMMYFUNCTION("""COMPUTED_VALUE"""),20560000)</f>
        <v>20560000</v>
      </c>
      <c r="S51" s="261" t="str">
        <f>IFERROR(__xludf.DUMMYFUNCTION("""COMPUTED_VALUE"""),"Invoice")</f>
        <v>Invoice</v>
      </c>
      <c r="T51" s="261"/>
    </row>
    <row r="52" customHeight="1" spans="1:20">
      <c r="A52" s="255">
        <f>IFERROR(__xludf.DUMMYFUNCTION("""COMPUTED_VALUE"""),51)</f>
        <v>51</v>
      </c>
      <c r="B52" s="255" t="str">
        <f>IFERROR(__xludf.DUMMYFUNCTION("""COMPUTED_VALUE"""),"Pembuatan Desain Siteplan Lokasi KRG-PB8")</f>
        <v>Pembuatan Desain Siteplan Lokasi KRG-PB8</v>
      </c>
      <c r="C52" s="255" t="str">
        <f>IFERROR(__xludf.DUMMYFUNCTION("""COMPUTED_VALUE"""),"Karangan")</f>
        <v>Karangan</v>
      </c>
      <c r="D52" s="255" t="str">
        <f>IFERROR(__xludf.DUMMYFUNCTION("""COMPUTED_VALUE"""),"153/PHR72410/2025-S0")</f>
        <v>153/PHR72410/2025-S0</v>
      </c>
      <c r="E52" s="255">
        <f>IFERROR(__xludf.DUMMYFUNCTION("""COMPUTED_VALUE"""),28)</f>
        <v>28</v>
      </c>
      <c r="F52" s="255">
        <f>IFERROR(__xludf.DUMMYFUNCTION("""COMPUTED_VALUE"""),0)</f>
        <v>0</v>
      </c>
      <c r="G52" s="256">
        <f>IFERROR(__xludf.DUMMYFUNCTION("""COMPUTED_VALUE"""),45982)</f>
        <v>45982</v>
      </c>
      <c r="H52" s="256">
        <f>IFERROR(__xludf.DUMMYFUNCTION("""COMPUTED_VALUE"""),46009)</f>
        <v>46009</v>
      </c>
      <c r="I52" s="257">
        <f>IFERROR(__xludf.DUMMYFUNCTION("""COMPUTED_VALUE"""),17840000)</f>
        <v>17840000</v>
      </c>
      <c r="J52" s="257">
        <f>IFERROR(__xludf.DUMMYFUNCTION("""COMPUTED_VALUE"""),11866000)</f>
        <v>11866000</v>
      </c>
      <c r="K52" s="258">
        <f>IFERROR(__xludf.DUMMYFUNCTION("""COMPUTED_VALUE"""),46078)</f>
        <v>46078</v>
      </c>
      <c r="L52" s="259">
        <f>IFERROR(__xludf.DUMMYFUNCTION("""COMPUTED_VALUE"""),15935000)</f>
        <v>15935000</v>
      </c>
      <c r="M52" s="258">
        <f>IFERROR(__xludf.DUMMYFUNCTION("""COMPUTED_VALUE"""),46077)</f>
        <v>46077</v>
      </c>
      <c r="N52" s="259">
        <f>IFERROR(__xludf.DUMMYFUNCTION("""COMPUTED_VALUE"""),15935000)</f>
        <v>15935000</v>
      </c>
      <c r="O52" s="258">
        <f>IFERROR(__xludf.DUMMYFUNCTION("""COMPUTED_VALUE"""),46241)</f>
        <v>46241</v>
      </c>
      <c r="P52" s="259">
        <f>IFERROR(__xludf.DUMMYFUNCTION("""COMPUTED_VALUE"""),11866000)</f>
        <v>11866000</v>
      </c>
      <c r="Q52" s="260">
        <f>IFERROR(__xludf.DUMMYFUNCTION("""COMPUTED_VALUE"""),0)</f>
        <v>0</v>
      </c>
      <c r="R52" s="260">
        <f>IFERROR(__xludf.DUMMYFUNCTION("""COMPUTED_VALUE"""),11866000)</f>
        <v>11866000</v>
      </c>
      <c r="S52" s="261" t="str">
        <f>IFERROR(__xludf.DUMMYFUNCTION("""COMPUTED_VALUE"""),"Invoice")</f>
        <v>Invoice</v>
      </c>
      <c r="T52" s="261"/>
    </row>
    <row r="53" customHeight="1" spans="1:20">
      <c r="A53" s="255">
        <f>IFERROR(__xludf.DUMMYFUNCTION("""COMPUTED_VALUE"""),52)</f>
        <v>52</v>
      </c>
      <c r="B53" s="255" t="str">
        <f>IFERROR(__xludf.DUMMYFUNCTION("""COMPUTED_VALUE"""),"Survey Pemetaan, Desain Siteplan Lokasi ABB-SE1")</f>
        <v>Survey Pemetaan, Desain Siteplan Lokasi ABB-SE1</v>
      </c>
      <c r="C53" s="255" t="str">
        <f>IFERROR(__xludf.DUMMYFUNCTION("""COMPUTED_VALUE"""),"Abab")</f>
        <v>Abab</v>
      </c>
      <c r="D53" s="255" t="str">
        <f>IFERROR(__xludf.DUMMYFUNCTION("""COMPUTED_VALUE"""),"156/PHR72410/2025-S0")</f>
        <v>156/PHR72410/2025-S0</v>
      </c>
      <c r="E53" s="255">
        <f>IFERROR(__xludf.DUMMYFUNCTION("""COMPUTED_VALUE"""),28)</f>
        <v>28</v>
      </c>
      <c r="F53" s="255">
        <f>IFERROR(__xludf.DUMMYFUNCTION("""COMPUTED_VALUE"""),7.94)</f>
        <v>7.94</v>
      </c>
      <c r="G53" s="256">
        <f>IFERROR(__xludf.DUMMYFUNCTION("""COMPUTED_VALUE"""),45982)</f>
        <v>45982</v>
      </c>
      <c r="H53" s="256">
        <f>IFERROR(__xludf.DUMMYFUNCTION("""COMPUTED_VALUE"""),46009)</f>
        <v>46009</v>
      </c>
      <c r="I53" s="257">
        <f>IFERROR(__xludf.DUMMYFUNCTION("""COMPUTED_VALUE"""),68252000)</f>
        <v>68252000</v>
      </c>
      <c r="J53" s="257">
        <f>IFERROR(__xludf.DUMMYFUNCTION("""COMPUTED_VALUE"""),65604000)</f>
        <v>65604000</v>
      </c>
      <c r="K53" s="258">
        <f>IFERROR(__xludf.DUMMYFUNCTION("""COMPUTED_VALUE"""),46047)</f>
        <v>46047</v>
      </c>
      <c r="L53" s="259">
        <f>IFERROR(__xludf.DUMMYFUNCTION("""COMPUTED_VALUE"""),65604000)</f>
        <v>65604000</v>
      </c>
      <c r="M53" s="258">
        <f>IFERROR(__xludf.DUMMYFUNCTION("""COMPUTED_VALUE"""),46021)</f>
        <v>46021</v>
      </c>
      <c r="N53" s="259">
        <f>IFERROR(__xludf.DUMMYFUNCTION("""COMPUTED_VALUE"""),65604000)</f>
        <v>65604000</v>
      </c>
      <c r="O53" s="255"/>
      <c r="P53" s="255"/>
      <c r="Q53" s="255"/>
      <c r="R53" s="260">
        <f>IFERROR(__xludf.DUMMYFUNCTION("""COMPUTED_VALUE"""),0)</f>
        <v>0</v>
      </c>
      <c r="S53" s="261" t="str">
        <f>IFERROR(__xludf.DUMMYFUNCTION("""COMPUTED_VALUE"""),"Belum Invoice")</f>
        <v>Belum Invoice</v>
      </c>
      <c r="T53" s="261"/>
    </row>
    <row r="54" customHeight="1" spans="1:20">
      <c r="A54" s="255">
        <f>IFERROR(__xludf.DUMMYFUNCTION("""COMPUTED_VALUE"""),53)</f>
        <v>53</v>
      </c>
      <c r="B54" s="255" t="str">
        <f>IFERROR(__xludf.DUMMYFUNCTION("""COMPUTED_VALUE"""),"Survey Pemetaan, Desain Siteplan Lokasi ABB-SW02")</f>
        <v>Survey Pemetaan, Desain Siteplan Lokasi ABB-SW02</v>
      </c>
      <c r="C54" s="255" t="str">
        <f>IFERROR(__xludf.DUMMYFUNCTION("""COMPUTED_VALUE"""),"Abab")</f>
        <v>Abab</v>
      </c>
      <c r="D54" s="255" t="str">
        <f>IFERROR(__xludf.DUMMYFUNCTION("""COMPUTED_VALUE"""),"155/PHR72410/2025-S0")</f>
        <v>155/PHR72410/2025-S0</v>
      </c>
      <c r="E54" s="255">
        <f>IFERROR(__xludf.DUMMYFUNCTION("""COMPUTED_VALUE"""),28)</f>
        <v>28</v>
      </c>
      <c r="F54" s="255">
        <f>IFERROR(__xludf.DUMMYFUNCTION("""COMPUTED_VALUE"""),10.57)</f>
        <v>10.57</v>
      </c>
      <c r="G54" s="256">
        <f>IFERROR(__xludf.DUMMYFUNCTION("""COMPUTED_VALUE"""),45982)</f>
        <v>45982</v>
      </c>
      <c r="H54" s="256">
        <f>IFERROR(__xludf.DUMMYFUNCTION("""COMPUTED_VALUE"""),46009)</f>
        <v>46009</v>
      </c>
      <c r="I54" s="257">
        <f>IFERROR(__xludf.DUMMYFUNCTION("""COMPUTED_VALUE"""),99703000)</f>
        <v>99703000</v>
      </c>
      <c r="J54" s="257">
        <f>IFERROR(__xludf.DUMMYFUNCTION("""COMPUTED_VALUE"""),92578000)</f>
        <v>92578000</v>
      </c>
      <c r="K54" s="258">
        <f>IFERROR(__xludf.DUMMYFUNCTION("""COMPUTED_VALUE"""),46137)</f>
        <v>46137</v>
      </c>
      <c r="L54" s="259">
        <f>IFERROR(__xludf.DUMMYFUNCTION("""COMPUTED_VALUE"""),95205000)</f>
        <v>95205000</v>
      </c>
      <c r="M54" s="258">
        <f>IFERROR(__xludf.DUMMYFUNCTION("""COMPUTED_VALUE"""),46094)</f>
        <v>46094</v>
      </c>
      <c r="N54" s="259">
        <f>IFERROR(__xludf.DUMMYFUNCTION("""COMPUTED_VALUE"""),95205000)</f>
        <v>95205000</v>
      </c>
      <c r="O54" s="258">
        <f>IFERROR(__xludf.DUMMYFUNCTION("""COMPUTED_VALUE"""),46241)</f>
        <v>46241</v>
      </c>
      <c r="P54" s="259">
        <f>IFERROR(__xludf.DUMMYFUNCTION("""COMPUTED_VALUE"""),92578000)</f>
        <v>92578000</v>
      </c>
      <c r="Q54" s="260">
        <f>IFERROR(__xludf.DUMMYFUNCTION("""COMPUTED_VALUE"""),0)</f>
        <v>0</v>
      </c>
      <c r="R54" s="260">
        <f>IFERROR(__xludf.DUMMYFUNCTION("""COMPUTED_VALUE"""),92578000)</f>
        <v>92578000</v>
      </c>
      <c r="S54" s="261" t="str">
        <f>IFERROR(__xludf.DUMMYFUNCTION("""COMPUTED_VALUE"""),"Invoice")</f>
        <v>Invoice</v>
      </c>
      <c r="T54" s="261"/>
    </row>
    <row r="55" customHeight="1" spans="1:20">
      <c r="A55" s="255">
        <f>IFERROR(__xludf.DUMMYFUNCTION("""COMPUTED_VALUE"""),54)</f>
        <v>54</v>
      </c>
      <c r="B55" s="255" t="str">
        <f>IFERROR(__xludf.DUMMYFUNCTION("""COMPUTED_VALUE"""),"Survey Pemetaan, Desain Siteplan Lokasi KRG-PB5 / KRG-HZ1")</f>
        <v>Survey Pemetaan, Desain Siteplan Lokasi KRG-PB5 / KRG-HZ1</v>
      </c>
      <c r="C55" s="255" t="str">
        <f>IFERROR(__xludf.DUMMYFUNCTION("""COMPUTED_VALUE"""),"Karangan")</f>
        <v>Karangan</v>
      </c>
      <c r="D55" s="255" t="str">
        <f>IFERROR(__xludf.DUMMYFUNCTION("""COMPUTED_VALUE"""),"154/PHR72410/2025-S0")</f>
        <v>154/PHR72410/2025-S0</v>
      </c>
      <c r="E55" s="255">
        <f>IFERROR(__xludf.DUMMYFUNCTION("""COMPUTED_VALUE"""),28)</f>
        <v>28</v>
      </c>
      <c r="F55" s="255">
        <f>IFERROR(__xludf.DUMMYFUNCTION("""COMPUTED_VALUE"""),2.8)</f>
        <v>2.8</v>
      </c>
      <c r="G55" s="256">
        <f>IFERROR(__xludf.DUMMYFUNCTION("""COMPUTED_VALUE"""),45982)</f>
        <v>45982</v>
      </c>
      <c r="H55" s="256">
        <f>IFERROR(__xludf.DUMMYFUNCTION("""COMPUTED_VALUE"""),46009)</f>
        <v>46009</v>
      </c>
      <c r="I55" s="257">
        <f>IFERROR(__xludf.DUMMYFUNCTION("""COMPUTED_VALUE"""),41572000)</f>
        <v>41572000</v>
      </c>
      <c r="J55" s="257">
        <f>IFERROR(__xludf.DUMMYFUNCTION("""COMPUTED_VALUE"""),36441000)</f>
        <v>36441000</v>
      </c>
      <c r="K55" s="258">
        <f>IFERROR(__xludf.DUMMYFUNCTION("""COMPUTED_VALUE"""),46078)</f>
        <v>46078</v>
      </c>
      <c r="L55" s="259">
        <f>IFERROR(__xludf.DUMMYFUNCTION("""COMPUTED_VALUE"""),36441000)</f>
        <v>36441000</v>
      </c>
      <c r="M55" s="258">
        <f>IFERROR(__xludf.DUMMYFUNCTION("""COMPUTED_VALUE"""),46077)</f>
        <v>46077</v>
      </c>
      <c r="N55" s="259">
        <f>IFERROR(__xludf.DUMMYFUNCTION("""COMPUTED_VALUE"""),36441000)</f>
        <v>36441000</v>
      </c>
      <c r="O55" s="255"/>
      <c r="P55" s="255"/>
      <c r="Q55" s="255"/>
      <c r="R55" s="260">
        <f>IFERROR(__xludf.DUMMYFUNCTION("""COMPUTED_VALUE"""),0)</f>
        <v>0</v>
      </c>
      <c r="S55" s="261" t="str">
        <f>IFERROR(__xludf.DUMMYFUNCTION("""COMPUTED_VALUE"""),"Belum Invoice")</f>
        <v>Belum Invoice</v>
      </c>
      <c r="T55" s="261"/>
    </row>
    <row r="56" customHeight="1" spans="1:20">
      <c r="A56" s="255">
        <f>IFERROR(__xludf.DUMMYFUNCTION("""COMPUTED_VALUE"""),55)</f>
        <v>55</v>
      </c>
      <c r="B56" s="255" t="str">
        <f>IFERROR(__xludf.DUMMYFUNCTION("""COMPUTED_VALUE"""),"Survey Pemetaan, Desain Siteplan Lokasi EPF-1, EPF-2 &amp; EPF-4 Di Gunung Kemala")</f>
        <v>Survey Pemetaan, Desain Siteplan Lokasi EPF-1, EPF-2 &amp; EPF-4 Di Gunung Kemala</v>
      </c>
      <c r="C56" s="255" t="str">
        <f>IFERROR(__xludf.DUMMYFUNCTION("""COMPUTED_VALUE"""),"Gunung Kemala")</f>
        <v>Gunung Kemala</v>
      </c>
      <c r="D56" s="255" t="str">
        <f>IFERROR(__xludf.DUMMYFUNCTION("""COMPUTED_VALUE"""),"152/PHR72410/2025-S0")</f>
        <v>152/PHR72410/2025-S0</v>
      </c>
      <c r="E56" s="255">
        <f>IFERROR(__xludf.DUMMYFUNCTION("""COMPUTED_VALUE"""),42)</f>
        <v>42</v>
      </c>
      <c r="F56" s="255">
        <f>IFERROR(__xludf.DUMMYFUNCTION("""COMPUTED_VALUE"""),6.29)</f>
        <v>6.29</v>
      </c>
      <c r="G56" s="256">
        <f>IFERROR(__xludf.DUMMYFUNCTION("""COMPUTED_VALUE"""),45982)</f>
        <v>45982</v>
      </c>
      <c r="H56" s="256">
        <f>IFERROR(__xludf.DUMMYFUNCTION("""COMPUTED_VALUE"""),46023)</f>
        <v>46023</v>
      </c>
      <c r="I56" s="257">
        <f>IFERROR(__xludf.DUMMYFUNCTION("""COMPUTED_VALUE"""),71105000)</f>
        <v>71105000</v>
      </c>
      <c r="J56" s="257">
        <f>IFERROR(__xludf.DUMMYFUNCTION("""COMPUTED_VALUE"""),63883000)</f>
        <v>63883000</v>
      </c>
      <c r="K56" s="258">
        <f>IFERROR(__xludf.DUMMYFUNCTION("""COMPUTED_VALUE"""),46137)</f>
        <v>46137</v>
      </c>
      <c r="L56" s="259">
        <f>IFERROR(__xludf.DUMMYFUNCTION("""COMPUTED_VALUE"""),63883000)</f>
        <v>63883000</v>
      </c>
      <c r="M56" s="258">
        <f>IFERROR(__xludf.DUMMYFUNCTION("""COMPUTED_VALUE"""),46094)</f>
        <v>46094</v>
      </c>
      <c r="N56" s="259">
        <f>IFERROR(__xludf.DUMMYFUNCTION("""COMPUTED_VALUE"""),63883000)</f>
        <v>63883000</v>
      </c>
      <c r="O56" s="255"/>
      <c r="P56" s="255"/>
      <c r="Q56" s="255"/>
      <c r="R56" s="260">
        <f>IFERROR(__xludf.DUMMYFUNCTION("""COMPUTED_VALUE"""),0)</f>
        <v>0</v>
      </c>
      <c r="S56" s="261" t="str">
        <f>IFERROR(__xludf.DUMMYFUNCTION("""COMPUTED_VALUE"""),"Belum Invoice")</f>
        <v>Belum Invoice</v>
      </c>
      <c r="T56" s="261"/>
    </row>
    <row r="57" customHeight="1" spans="1:20">
      <c r="A57" s="255">
        <f>IFERROR(__xludf.DUMMYFUNCTION("""COMPUTED_VALUE"""),56)</f>
        <v>56</v>
      </c>
      <c r="B57" s="255" t="str">
        <f>IFERROR(__xludf.DUMMYFUNCTION("""COMPUTED_VALUE"""),"Survey Topography Fasilitas Produksi Flowline TLJT-05, Prabumulih Field")</f>
        <v>Survey Topography Fasilitas Produksi Flowline TLJT-05, Prabumulih Field</v>
      </c>
      <c r="C57" s="255" t="str">
        <f>IFERROR(__xludf.DUMMYFUNCTION("""COMPUTED_VALUE"""),"Talang Jimar")</f>
        <v>Talang Jimar</v>
      </c>
      <c r="D57" s="255" t="str">
        <f>IFERROR(__xludf.DUMMYFUNCTION("""COMPUTED_VALUE"""),"163/PHR72410/2025-S0")</f>
        <v>163/PHR72410/2025-S0</v>
      </c>
      <c r="E57" s="255">
        <f>IFERROR(__xludf.DUMMYFUNCTION("""COMPUTED_VALUE"""),42)</f>
        <v>42</v>
      </c>
      <c r="F57" s="255">
        <f>IFERROR(__xludf.DUMMYFUNCTION("""COMPUTED_VALUE"""),4.9)</f>
        <v>4.9</v>
      </c>
      <c r="G57" s="256">
        <f>IFERROR(__xludf.DUMMYFUNCTION("""COMPUTED_VALUE"""),45989)</f>
        <v>45989</v>
      </c>
      <c r="H57" s="256">
        <f>IFERROR(__xludf.DUMMYFUNCTION("""COMPUTED_VALUE"""),46030)</f>
        <v>46030</v>
      </c>
      <c r="I57" s="257">
        <f>IFERROR(__xludf.DUMMYFUNCTION("""COMPUTED_VALUE"""),41687000)</f>
        <v>41687000</v>
      </c>
      <c r="J57" s="257">
        <f>IFERROR(__xludf.DUMMYFUNCTION("""COMPUTED_VALUE"""),41687000)</f>
        <v>41687000</v>
      </c>
      <c r="K57" s="258">
        <f>IFERROR(__xludf.DUMMYFUNCTION("""COMPUTED_VALUE"""),46137)</f>
        <v>46137</v>
      </c>
      <c r="L57" s="259">
        <f>IFERROR(__xludf.DUMMYFUNCTION("""COMPUTED_VALUE"""),41687000)</f>
        <v>41687000</v>
      </c>
      <c r="M57" s="258">
        <f>IFERROR(__xludf.DUMMYFUNCTION("""COMPUTED_VALUE"""),46094)</f>
        <v>46094</v>
      </c>
      <c r="N57" s="259">
        <f>IFERROR(__xludf.DUMMYFUNCTION("""COMPUTED_VALUE"""),41687000)</f>
        <v>41687000</v>
      </c>
      <c r="O57" s="255"/>
      <c r="P57" s="255"/>
      <c r="Q57" s="255"/>
      <c r="R57" s="260">
        <f>IFERROR(__xludf.DUMMYFUNCTION("""COMPUTED_VALUE"""),0)</f>
        <v>0</v>
      </c>
      <c r="S57" s="261" t="str">
        <f>IFERROR(__xludf.DUMMYFUNCTION("""COMPUTED_VALUE"""),"Belum Invoice")</f>
        <v>Belum Invoice</v>
      </c>
      <c r="T57" s="261"/>
    </row>
    <row r="58" customHeight="1" spans="1:20">
      <c r="A58" s="255">
        <f>IFERROR(__xludf.DUMMYFUNCTION("""COMPUTED_VALUE"""),57)</f>
        <v>57</v>
      </c>
      <c r="B58" s="255" t="str">
        <f>IFERROR(__xludf.DUMMYFUNCTION("""COMPUTED_VALUE"""),"Survey Topography Fasilitas Produksi Flowline DWA-D1, Adera Field")</f>
        <v>Survey Topography Fasilitas Produksi Flowline DWA-D1, Adera Field</v>
      </c>
      <c r="C58" s="255" t="str">
        <f>IFERROR(__xludf.DUMMYFUNCTION("""COMPUTED_VALUE"""),"Dewa")</f>
        <v>Dewa</v>
      </c>
      <c r="D58" s="255" t="str">
        <f>IFERROR(__xludf.DUMMYFUNCTION("""COMPUTED_VALUE"""),"161/PHR72410/2025-S0")</f>
        <v>161/PHR72410/2025-S0</v>
      </c>
      <c r="E58" s="255">
        <f>IFERROR(__xludf.DUMMYFUNCTION("""COMPUTED_VALUE"""),42)</f>
        <v>42</v>
      </c>
      <c r="F58" s="255">
        <f>IFERROR(__xludf.DUMMYFUNCTION("""COMPUTED_VALUE"""),15.18)</f>
        <v>15.18</v>
      </c>
      <c r="G58" s="256">
        <f>IFERROR(__xludf.DUMMYFUNCTION("""COMPUTED_VALUE"""),45996)</f>
        <v>45996</v>
      </c>
      <c r="H58" s="256">
        <f>IFERROR(__xludf.DUMMYFUNCTION("""COMPUTED_VALUE"""),46037)</f>
        <v>46037</v>
      </c>
      <c r="I58" s="257">
        <f>IFERROR(__xludf.DUMMYFUNCTION("""COMPUTED_VALUE"""),98446000)</f>
        <v>98446000</v>
      </c>
      <c r="J58" s="257">
        <f>IFERROR(__xludf.DUMMYFUNCTION("""COMPUTED_VALUE"""),98446000)</f>
        <v>98446000</v>
      </c>
      <c r="K58" s="258">
        <f>IFERROR(__xludf.DUMMYFUNCTION("""COMPUTED_VALUE"""),46137)</f>
        <v>46137</v>
      </c>
      <c r="L58" s="259">
        <f>IFERROR(__xludf.DUMMYFUNCTION("""COMPUTED_VALUE"""),98446000)</f>
        <v>98446000</v>
      </c>
      <c r="M58" s="258">
        <f>IFERROR(__xludf.DUMMYFUNCTION("""COMPUTED_VALUE"""),46094)</f>
        <v>46094</v>
      </c>
      <c r="N58" s="259">
        <f>IFERROR(__xludf.DUMMYFUNCTION("""COMPUTED_VALUE"""),98446000)</f>
        <v>98446000</v>
      </c>
      <c r="O58" s="258">
        <f>IFERROR(__xludf.DUMMYFUNCTION("""COMPUTED_VALUE"""),46210)</f>
        <v>46210</v>
      </c>
      <c r="P58" s="259">
        <f>IFERROR(__xludf.DUMMYFUNCTION("""COMPUTED_VALUE"""),98446000)</f>
        <v>98446000</v>
      </c>
      <c r="Q58" s="260">
        <f>IFERROR(__xludf.DUMMYFUNCTION("""COMPUTED_VALUE"""),0)</f>
        <v>0</v>
      </c>
      <c r="R58" s="260">
        <f>IFERROR(__xludf.DUMMYFUNCTION("""COMPUTED_VALUE"""),98446000)</f>
        <v>98446000</v>
      </c>
      <c r="S58" s="261" t="str">
        <f>IFERROR(__xludf.DUMMYFUNCTION("""COMPUTED_VALUE"""),"Invoice")</f>
        <v>Invoice</v>
      </c>
      <c r="T58" s="261"/>
    </row>
    <row r="59" customHeight="1" spans="1:20">
      <c r="A59" s="255">
        <f>IFERROR(__xludf.DUMMYFUNCTION("""COMPUTED_VALUE"""),58)</f>
        <v>58</v>
      </c>
      <c r="B59" s="255" t="str">
        <f>IFERROR(__xludf.DUMMYFUNCTION("""COMPUTED_VALUE"""),"Survey Pemetaan BN-B31 Reposisi")</f>
        <v>Survey Pemetaan BN-B31 Reposisi</v>
      </c>
      <c r="C59" s="255" t="str">
        <f>IFERROR(__xludf.DUMMYFUNCTION("""COMPUTED_VALUE"""),"Bentayan")</f>
        <v>Bentayan</v>
      </c>
      <c r="D59" s="255" t="str">
        <f>IFERROR(__xludf.DUMMYFUNCTION("""COMPUTED_VALUE"""),"167/PHR72410/2026-S0")</f>
        <v>167/PHR72410/2026-S0</v>
      </c>
      <c r="E59" s="255">
        <f>IFERROR(__xludf.DUMMYFUNCTION("""COMPUTED_VALUE"""),52)</f>
        <v>52</v>
      </c>
      <c r="F59" s="255">
        <f>IFERROR(__xludf.DUMMYFUNCTION("""COMPUTED_VALUE"""),2.62)</f>
        <v>2.62</v>
      </c>
      <c r="G59" s="256">
        <f>IFERROR(__xludf.DUMMYFUNCTION("""COMPUTED_VALUE"""),46104)</f>
        <v>46104</v>
      </c>
      <c r="H59" s="256">
        <f>IFERROR(__xludf.DUMMYFUNCTION("""COMPUTED_VALUE"""),46155)</f>
        <v>46155</v>
      </c>
      <c r="I59" s="257">
        <f>IFERROR(__xludf.DUMMYFUNCTION("""COMPUTED_VALUE"""),46234000)</f>
        <v>46234000</v>
      </c>
      <c r="J59" s="257">
        <f>IFERROR(__xludf.DUMMYFUNCTION("""COMPUTED_VALUE"""),34796000)</f>
        <v>34796000</v>
      </c>
      <c r="K59" s="258">
        <f>IFERROR(__xludf.DUMMYFUNCTION("""COMPUTED_VALUE"""),46167)</f>
        <v>46167</v>
      </c>
      <c r="L59" s="259">
        <f>IFERROR(__xludf.DUMMYFUNCTION("""COMPUTED_VALUE"""),34796000)</f>
        <v>34796000</v>
      </c>
      <c r="M59" s="262">
        <f>IFERROR(__xludf.DUMMYFUNCTION("""COMPUTED_VALUE"""),46162)</f>
        <v>46162</v>
      </c>
      <c r="N59" s="259">
        <f>IFERROR(__xludf.DUMMYFUNCTION("""COMPUTED_VALUE"""),34796000)</f>
        <v>34796000</v>
      </c>
      <c r="O59" s="255"/>
      <c r="P59" s="255"/>
      <c r="Q59" s="255"/>
      <c r="R59" s="260">
        <f>IFERROR(__xludf.DUMMYFUNCTION("""COMPUTED_VALUE"""),0)</f>
        <v>0</v>
      </c>
      <c r="S59" s="261" t="str">
        <f>IFERROR(__xludf.DUMMYFUNCTION("""COMPUTED_VALUE"""),"Belum Invoice")</f>
        <v>Belum Invoice</v>
      </c>
      <c r="T59" s="261"/>
    </row>
    <row r="60" customHeight="1" spans="1:20">
      <c r="A60" s="255">
        <f>IFERROR(__xludf.DUMMYFUNCTION("""COMPUTED_VALUE"""),59)</f>
        <v>59</v>
      </c>
      <c r="B60" s="255" t="str">
        <f>IFERROR(__xludf.DUMMYFUNCTION("""COMPUTED_VALUE"""),"Survey Pemetaan GNK-PD77 Reposisi")</f>
        <v>Survey Pemetaan GNK-PD77 Reposisi</v>
      </c>
      <c r="C60" s="255" t="str">
        <f>IFERROR(__xludf.DUMMYFUNCTION("""COMPUTED_VALUE"""),"Gunung Kemala")</f>
        <v>Gunung Kemala</v>
      </c>
      <c r="D60" s="255" t="str">
        <f>IFERROR(__xludf.DUMMYFUNCTION("""COMPUTED_VALUE"""),"166/PHR72410/2025-S0")</f>
        <v>166/PHR72410/2025-S0</v>
      </c>
      <c r="E60" s="255">
        <f>IFERROR(__xludf.DUMMYFUNCTION("""COMPUTED_VALUE"""),50)</f>
        <v>50</v>
      </c>
      <c r="F60" s="255">
        <f>IFERROR(__xludf.DUMMYFUNCTION("""COMPUTED_VALUE"""),8.22)</f>
        <v>8.22</v>
      </c>
      <c r="G60" s="256">
        <f>IFERROR(__xludf.DUMMYFUNCTION("""COMPUTED_VALUE"""),46003)</f>
        <v>46003</v>
      </c>
      <c r="H60" s="256">
        <f>IFERROR(__xludf.DUMMYFUNCTION("""COMPUTED_VALUE"""),46052)</f>
        <v>46052</v>
      </c>
      <c r="I60" s="257">
        <f>IFERROR(__xludf.DUMMYFUNCTION("""COMPUTED_VALUE"""),68491000)</f>
        <v>68491000</v>
      </c>
      <c r="J60" s="257">
        <f>IFERROR(__xludf.DUMMYFUNCTION("""COMPUTED_VALUE"""),63738000)</f>
        <v>63738000</v>
      </c>
      <c r="K60" s="255"/>
      <c r="L60" s="255"/>
      <c r="M60" s="255"/>
      <c r="N60" s="259">
        <f>IFERROR(__xludf.DUMMYFUNCTION("""COMPUTED_VALUE"""),63738000)</f>
        <v>63738000</v>
      </c>
      <c r="O60" s="255"/>
      <c r="P60" s="255"/>
      <c r="Q60" s="255"/>
      <c r="R60" s="260">
        <f>IFERROR(__xludf.DUMMYFUNCTION("""COMPUTED_VALUE"""),0)</f>
        <v>0</v>
      </c>
      <c r="S60" s="261" t="str">
        <f>IFERROR(__xludf.DUMMYFUNCTION("""COMPUTED_VALUE"""),"Belum Invoice")</f>
        <v>Belum Invoice</v>
      </c>
      <c r="T60" s="261"/>
    </row>
    <row r="61" customHeight="1" spans="1:20">
      <c r="A61" s="255">
        <f>IFERROR(__xludf.DUMMYFUNCTION("""COMPUTED_VALUE"""),60)</f>
        <v>60</v>
      </c>
      <c r="B61" s="255" t="str">
        <f>IFERROR(__xludf.DUMMYFUNCTION("""COMPUTED_VALUE"""),"Survey Topography Fasilitas Produksi Flowline BKT-AW02 &amp; BKT-AW03")</f>
        <v>Survey Topography Fasilitas Produksi Flowline BKT-AW02 &amp; BKT-AW03</v>
      </c>
      <c r="C61" s="255" t="str">
        <f>IFERROR(__xludf.DUMMYFUNCTION("""COMPUTED_VALUE"""),"Benakat")</f>
        <v>Benakat</v>
      </c>
      <c r="D61" s="255" t="str">
        <f>IFERROR(__xludf.DUMMYFUNCTION("""COMPUTED_VALUE"""),"169/PHR72410/2025-S0")</f>
        <v>169/PHR72410/2025-S0</v>
      </c>
      <c r="E61" s="255">
        <f>IFERROR(__xludf.DUMMYFUNCTION("""COMPUTED_VALUE"""),42)</f>
        <v>42</v>
      </c>
      <c r="F61" s="255">
        <f>IFERROR(__xludf.DUMMYFUNCTION("""COMPUTED_VALUE"""),11.46)</f>
        <v>11.46</v>
      </c>
      <c r="G61" s="256">
        <f>IFERROR(__xludf.DUMMYFUNCTION("""COMPUTED_VALUE"""),46010)</f>
        <v>46010</v>
      </c>
      <c r="H61" s="256">
        <f>IFERROR(__xludf.DUMMYFUNCTION("""COMPUTED_VALUE"""),46051)</f>
        <v>46051</v>
      </c>
      <c r="I61" s="257">
        <f>IFERROR(__xludf.DUMMYFUNCTION("""COMPUTED_VALUE"""),71506000)</f>
        <v>71506000</v>
      </c>
      <c r="J61" s="257">
        <f>IFERROR(__xludf.DUMMYFUNCTION("""COMPUTED_VALUE"""),71506000)</f>
        <v>71506000</v>
      </c>
      <c r="K61" s="258">
        <f>IFERROR(__xludf.DUMMYFUNCTION("""COMPUTED_VALUE"""),46137)</f>
        <v>46137</v>
      </c>
      <c r="L61" s="259">
        <f>IFERROR(__xludf.DUMMYFUNCTION("""COMPUTED_VALUE"""),71506000)</f>
        <v>71506000</v>
      </c>
      <c r="M61" s="258">
        <f>IFERROR(__xludf.DUMMYFUNCTION("""COMPUTED_VALUE"""),46094)</f>
        <v>46094</v>
      </c>
      <c r="N61" s="259">
        <f>IFERROR(__xludf.DUMMYFUNCTION("""COMPUTED_VALUE"""),71506000)</f>
        <v>71506000</v>
      </c>
      <c r="O61" s="255"/>
      <c r="P61" s="255"/>
      <c r="Q61" s="255"/>
      <c r="R61" s="260">
        <f>IFERROR(__xludf.DUMMYFUNCTION("""COMPUTED_VALUE"""),0)</f>
        <v>0</v>
      </c>
      <c r="S61" s="261" t="str">
        <f>IFERROR(__xludf.DUMMYFUNCTION("""COMPUTED_VALUE"""),"Belum Invoice")</f>
        <v>Belum Invoice</v>
      </c>
      <c r="T61" s="261"/>
    </row>
    <row r="62" customHeight="1" spans="1:20">
      <c r="A62" s="255">
        <f>IFERROR(__xludf.DUMMYFUNCTION("""COMPUTED_VALUE"""),61)</f>
        <v>61</v>
      </c>
      <c r="B62" s="255" t="str">
        <f>IFERROR(__xludf.DUMMYFUNCTION("""COMPUTED_VALUE"""),"Survey Topography Fasilitas Produksi Flowline PMN-I")</f>
        <v>Survey Topography Fasilitas Produksi Flowline PMN-I</v>
      </c>
      <c r="C62" s="255" t="str">
        <f>IFERROR(__xludf.DUMMYFUNCTION("""COMPUTED_VALUE"""),"Prabumenang")</f>
        <v>Prabumenang</v>
      </c>
      <c r="D62" s="255" t="str">
        <f>IFERROR(__xludf.DUMMYFUNCTION("""COMPUTED_VALUE"""),"171/PHR72410/2025-S0")</f>
        <v>171/PHR72410/2025-S0</v>
      </c>
      <c r="E62" s="255">
        <f>IFERROR(__xludf.DUMMYFUNCTION("""COMPUTED_VALUE"""),42)</f>
        <v>42</v>
      </c>
      <c r="F62" s="255">
        <f>IFERROR(__xludf.DUMMYFUNCTION("""COMPUTED_VALUE"""),10.08)</f>
        <v>10.08</v>
      </c>
      <c r="G62" s="256">
        <f>IFERROR(__xludf.DUMMYFUNCTION("""COMPUTED_VALUE"""),46010)</f>
        <v>46010</v>
      </c>
      <c r="H62" s="256">
        <f>IFERROR(__xludf.DUMMYFUNCTION("""COMPUTED_VALUE"""),46051)</f>
        <v>46051</v>
      </c>
      <c r="I62" s="257">
        <f>IFERROR(__xludf.DUMMYFUNCTION("""COMPUTED_VALUE"""),65090000)</f>
        <v>65090000</v>
      </c>
      <c r="J62" s="257">
        <f>IFERROR(__xludf.DUMMYFUNCTION("""COMPUTED_VALUE"""),65090000)</f>
        <v>65090000</v>
      </c>
      <c r="K62" s="258">
        <f>IFERROR(__xludf.DUMMYFUNCTION("""COMPUTED_VALUE"""),46167)</f>
        <v>46167</v>
      </c>
      <c r="L62" s="259">
        <f>IFERROR(__xludf.DUMMYFUNCTION("""COMPUTED_VALUE"""),65090000)</f>
        <v>65090000</v>
      </c>
      <c r="M62" s="258">
        <f>IFERROR(__xludf.DUMMYFUNCTION("""COMPUTED_VALUE"""),46094)</f>
        <v>46094</v>
      </c>
      <c r="N62" s="259">
        <f>IFERROR(__xludf.DUMMYFUNCTION("""COMPUTED_VALUE"""),65090000)</f>
        <v>65090000</v>
      </c>
      <c r="O62" s="255"/>
      <c r="P62" s="255"/>
      <c r="Q62" s="255"/>
      <c r="R62" s="260">
        <f>IFERROR(__xludf.DUMMYFUNCTION("""COMPUTED_VALUE"""),0)</f>
        <v>0</v>
      </c>
      <c r="S62" s="261" t="str">
        <f>IFERROR(__xludf.DUMMYFUNCTION("""COMPUTED_VALUE"""),"Belum Invoice")</f>
        <v>Belum Invoice</v>
      </c>
      <c r="T62" s="261"/>
    </row>
    <row r="63" customHeight="1" spans="1:20">
      <c r="A63" s="255">
        <f>IFERROR(__xludf.DUMMYFUNCTION("""COMPUTED_VALUE"""),62)</f>
        <v>62</v>
      </c>
      <c r="B63" s="255" t="str">
        <f>IFERROR(__xludf.DUMMYFUNCTION("""COMPUTED_VALUE"""),"Survey Pemetaan, Desain Siteplan Lokasi GNK-PD18")</f>
        <v>Survey Pemetaan, Desain Siteplan Lokasi GNK-PD18</v>
      </c>
      <c r="C63" s="255" t="str">
        <f>IFERROR(__xludf.DUMMYFUNCTION("""COMPUTED_VALUE"""),"Gunung Kemala")</f>
        <v>Gunung Kemala</v>
      </c>
      <c r="D63" s="255" t="str">
        <f>IFERROR(__xludf.DUMMYFUNCTION("""COMPUTED_VALUE"""),"003/PHR72410/2026-S0")</f>
        <v>003/PHR72410/2026-S0</v>
      </c>
      <c r="E63" s="255">
        <f>IFERROR(__xludf.DUMMYFUNCTION("""COMPUTED_VALUE"""),42)</f>
        <v>42</v>
      </c>
      <c r="F63" s="255">
        <f>IFERROR(__xludf.DUMMYFUNCTION("""COMPUTED_VALUE"""),9.18)</f>
        <v>9.18</v>
      </c>
      <c r="G63" s="256">
        <f>IFERROR(__xludf.DUMMYFUNCTION("""COMPUTED_VALUE"""),46038)</f>
        <v>46038</v>
      </c>
      <c r="H63" s="256">
        <f>IFERROR(__xludf.DUMMYFUNCTION("""COMPUTED_VALUE"""),46079)</f>
        <v>46079</v>
      </c>
      <c r="I63" s="257">
        <f>IFERROR(__xludf.DUMMYFUNCTION("""COMPUTED_VALUE"""),61605000)</f>
        <v>61605000</v>
      </c>
      <c r="J63" s="257">
        <f>IFERROR(__xludf.DUMMYFUNCTION("""COMPUTED_VALUE"""),58307000)</f>
        <v>58307000</v>
      </c>
      <c r="K63" s="258">
        <f>IFERROR(__xludf.DUMMYFUNCTION("""COMPUTED_VALUE"""),46198)</f>
        <v>46198</v>
      </c>
      <c r="L63" s="259">
        <f>IFERROR(__xludf.DUMMYFUNCTION("""COMPUTED_VALUE"""),58307000)</f>
        <v>58307000</v>
      </c>
      <c r="M63" s="258">
        <f>IFERROR(__xludf.DUMMYFUNCTION("""COMPUTED_VALUE"""),46167)</f>
        <v>46167</v>
      </c>
      <c r="N63" s="259">
        <f>IFERROR(__xludf.DUMMYFUNCTION("""COMPUTED_VALUE"""),58307000)</f>
        <v>58307000</v>
      </c>
      <c r="O63" s="255"/>
      <c r="P63" s="255"/>
      <c r="Q63" s="255"/>
      <c r="R63" s="260">
        <f>IFERROR(__xludf.DUMMYFUNCTION("""COMPUTED_VALUE"""),0)</f>
        <v>0</v>
      </c>
      <c r="S63" s="261" t="str">
        <f>IFERROR(__xludf.DUMMYFUNCTION("""COMPUTED_VALUE"""),"Belum Invoice")</f>
        <v>Belum Invoice</v>
      </c>
      <c r="T63" s="261"/>
    </row>
    <row r="64" customHeight="1" spans="1:20">
      <c r="A64" s="255">
        <f>IFERROR(__xludf.DUMMYFUNCTION("""COMPUTED_VALUE"""),63)</f>
        <v>63</v>
      </c>
      <c r="B64" s="255" t="str">
        <f>IFERROR(__xludf.DUMMYFUNCTION("""COMPUTED_VALUE"""),"Survey Topography Fasilitas Produksi Flowline TAP-NW12")</f>
        <v>Survey Topography Fasilitas Produksi Flowline TAP-NW12</v>
      </c>
      <c r="C64" s="255" t="str">
        <f>IFERROR(__xludf.DUMMYFUNCTION("""COMPUTED_VALUE"""),"Talang Akar
Pendopo")</f>
        <v>Talang Akar
Pendopo</v>
      </c>
      <c r="D64" s="255" t="str">
        <f>IFERROR(__xludf.DUMMYFUNCTION("""COMPUTED_VALUE"""),"005/PHR72410/2026-S0")</f>
        <v>005/PHR72410/2026-S0</v>
      </c>
      <c r="E64" s="255">
        <f>IFERROR(__xludf.DUMMYFUNCTION("""COMPUTED_VALUE"""),30)</f>
        <v>30</v>
      </c>
      <c r="F64" s="255">
        <f>IFERROR(__xludf.DUMMYFUNCTION("""COMPUTED_VALUE"""),7.65)</f>
        <v>7.65</v>
      </c>
      <c r="G64" s="256">
        <f>IFERROR(__xludf.DUMMYFUNCTION("""COMPUTED_VALUE"""),46062)</f>
        <v>46062</v>
      </c>
      <c r="H64" s="256">
        <f>IFERROR(__xludf.DUMMYFUNCTION("""COMPUTED_VALUE"""),46091)</f>
        <v>46091</v>
      </c>
      <c r="I64" s="257">
        <f>IFERROR(__xludf.DUMMYFUNCTION("""COMPUTED_VALUE"""),54276000)</f>
        <v>54276000</v>
      </c>
      <c r="J64" s="257">
        <f>IFERROR(__xludf.DUMMYFUNCTION("""COMPUTED_VALUE"""),54276000)</f>
        <v>54276000</v>
      </c>
      <c r="K64" s="258">
        <f>IFERROR(__xludf.DUMMYFUNCTION("""COMPUTED_VALUE"""),46137)</f>
        <v>46137</v>
      </c>
      <c r="L64" s="259">
        <f>IFERROR(__xludf.DUMMYFUNCTION("""COMPUTED_VALUE"""),54276000)</f>
        <v>54276000</v>
      </c>
      <c r="M64" s="258">
        <f>IFERROR(__xludf.DUMMYFUNCTION("""COMPUTED_VALUE"""),46094)</f>
        <v>46094</v>
      </c>
      <c r="N64" s="259">
        <f>IFERROR(__xludf.DUMMYFUNCTION("""COMPUTED_VALUE"""),54276000)</f>
        <v>54276000</v>
      </c>
      <c r="O64" s="255"/>
      <c r="P64" s="255"/>
      <c r="Q64" s="255"/>
      <c r="R64" s="260">
        <f>IFERROR(__xludf.DUMMYFUNCTION("""COMPUTED_VALUE"""),0)</f>
        <v>0</v>
      </c>
      <c r="S64" s="261" t="str">
        <f>IFERROR(__xludf.DUMMYFUNCTION("""COMPUTED_VALUE"""),"Belum Invoice")</f>
        <v>Belum Invoice</v>
      </c>
      <c r="T64" s="261"/>
    </row>
    <row r="65" customHeight="1" spans="1:20">
      <c r="A65" s="255">
        <f>IFERROR(__xludf.DUMMYFUNCTION("""COMPUTED_VALUE"""),64)</f>
        <v>64</v>
      </c>
      <c r="B65" s="255" t="str">
        <f>IFERROR(__xludf.DUMMYFUNCTION("""COMPUTED_VALUE"""),"Survey Topography Fasilitas
Produksi Flowline BEL-K10")</f>
        <v>Survey Topography Fasilitas
Produksi Flowline BEL-K10</v>
      </c>
      <c r="C65" s="255" t="str">
        <f>IFERROR(__xludf.DUMMYFUNCTION("""COMPUTED_VALUE"""),"Belimbing")</f>
        <v>Belimbing</v>
      </c>
      <c r="D65" s="255" t="str">
        <f>IFERROR(__xludf.DUMMYFUNCTION("""COMPUTED_VALUE"""),"006/PHR72410/2026-S0")</f>
        <v>006/PHR72410/2026-S0</v>
      </c>
      <c r="E65" s="255">
        <f>IFERROR(__xludf.DUMMYFUNCTION("""COMPUTED_VALUE"""),42)</f>
        <v>42</v>
      </c>
      <c r="F65" s="255">
        <f>IFERROR(__xludf.DUMMYFUNCTION("""COMPUTED_VALUE"""),3.49)</f>
        <v>3.49</v>
      </c>
      <c r="G65" s="256">
        <f>IFERROR(__xludf.DUMMYFUNCTION("""COMPUTED_VALUE"""),46062)</f>
        <v>46062</v>
      </c>
      <c r="H65" s="256">
        <f>IFERROR(__xludf.DUMMYFUNCTION("""COMPUTED_VALUE"""),46103)</f>
        <v>46103</v>
      </c>
      <c r="I65" s="257">
        <f>IFERROR(__xludf.DUMMYFUNCTION("""COMPUTED_VALUE"""),24793000)</f>
        <v>24793000</v>
      </c>
      <c r="J65" s="257">
        <f>IFERROR(__xludf.DUMMYFUNCTION("""COMPUTED_VALUE"""),24793000)</f>
        <v>24793000</v>
      </c>
      <c r="K65" s="258">
        <f>IFERROR(__xludf.DUMMYFUNCTION("""COMPUTED_VALUE"""),46167)</f>
        <v>46167</v>
      </c>
      <c r="L65" s="259">
        <f>IFERROR(__xludf.DUMMYFUNCTION("""COMPUTED_VALUE"""),24793000)</f>
        <v>24793000</v>
      </c>
      <c r="M65" s="258">
        <f>IFERROR(__xludf.DUMMYFUNCTION("""COMPUTED_VALUE"""),46094)</f>
        <v>46094</v>
      </c>
      <c r="N65" s="259">
        <f>IFERROR(__xludf.DUMMYFUNCTION("""COMPUTED_VALUE"""),24793000)</f>
        <v>24793000</v>
      </c>
      <c r="O65" s="255"/>
      <c r="P65" s="255"/>
      <c r="Q65" s="255"/>
      <c r="R65" s="260">
        <f>IFERROR(__xludf.DUMMYFUNCTION("""COMPUTED_VALUE"""),0)</f>
        <v>0</v>
      </c>
      <c r="S65" s="261" t="str">
        <f>IFERROR(__xludf.DUMMYFUNCTION("""COMPUTED_VALUE"""),"Belum Invoice")</f>
        <v>Belum Invoice</v>
      </c>
      <c r="T65" s="261"/>
    </row>
    <row r="66" customHeight="1" spans="1:20">
      <c r="A66" s="255">
        <f>IFERROR(__xludf.DUMMYFUNCTION("""COMPUTED_VALUE"""),65)</f>
        <v>65</v>
      </c>
      <c r="B66" s="255" t="str">
        <f>IFERROR(__xludf.DUMMYFUNCTION("""COMPUTED_VALUE"""),"Survey Pemetaan Tambahan Lokasi BKT-AW3")</f>
        <v>Survey Pemetaan Tambahan Lokasi BKT-AW3</v>
      </c>
      <c r="C66" s="255" t="str">
        <f>IFERROR(__xludf.DUMMYFUNCTION("""COMPUTED_VALUE"""),"Benakat")</f>
        <v>Benakat</v>
      </c>
      <c r="D66" s="255" t="str">
        <f>IFERROR(__xludf.DUMMYFUNCTION("""COMPUTED_VALUE"""),"011/PHR72410/2026-S0")</f>
        <v>011/PHR72410/2026-S0</v>
      </c>
      <c r="E66" s="255">
        <f>IFERROR(__xludf.DUMMYFUNCTION("""COMPUTED_VALUE"""),42)</f>
        <v>42</v>
      </c>
      <c r="F66" s="255">
        <f>IFERROR(__xludf.DUMMYFUNCTION("""COMPUTED_VALUE"""),1.7)</f>
        <v>1.7</v>
      </c>
      <c r="G66" s="256">
        <f>IFERROR(__xludf.DUMMYFUNCTION("""COMPUTED_VALUE"""),46073)</f>
        <v>46073</v>
      </c>
      <c r="H66" s="256">
        <f>IFERROR(__xludf.DUMMYFUNCTION("""COMPUTED_VALUE"""),46114)</f>
        <v>46114</v>
      </c>
      <c r="I66" s="257">
        <f>IFERROR(__xludf.DUMMYFUNCTION("""COMPUTED_VALUE"""),71222000)</f>
        <v>71222000</v>
      </c>
      <c r="J66" s="257">
        <f>IFERROR(__xludf.DUMMYFUNCTION("""COMPUTED_VALUE"""),53808000)</f>
        <v>53808000</v>
      </c>
      <c r="K66" s="258">
        <f>IFERROR(__xludf.DUMMYFUNCTION("""COMPUTED_VALUE"""),46167)</f>
        <v>46167</v>
      </c>
      <c r="L66" s="259">
        <f>IFERROR(__xludf.DUMMYFUNCTION("""COMPUTED_VALUE"""),53808000)</f>
        <v>53808000</v>
      </c>
      <c r="M66" s="258">
        <f>IFERROR(__xludf.DUMMYFUNCTION("""COMPUTED_VALUE"""),46162)</f>
        <v>46162</v>
      </c>
      <c r="N66" s="259">
        <f>IFERROR(__xludf.DUMMYFUNCTION("""COMPUTED_VALUE"""),53808000)</f>
        <v>53808000</v>
      </c>
      <c r="O66" s="255"/>
      <c r="P66" s="255"/>
      <c r="Q66" s="255"/>
      <c r="R66" s="260">
        <f>IFERROR(__xludf.DUMMYFUNCTION("""COMPUTED_VALUE"""),0)</f>
        <v>0</v>
      </c>
      <c r="S66" s="261" t="str">
        <f>IFERROR(__xludf.DUMMYFUNCTION("""COMPUTED_VALUE"""),"Belum Invoice")</f>
        <v>Belum Invoice</v>
      </c>
      <c r="T66" s="261"/>
    </row>
    <row r="67" customHeight="1" spans="1:20">
      <c r="A67" s="255">
        <f>IFERROR(__xludf.DUMMYFUNCTION("""COMPUTED_VALUE"""),66)</f>
        <v>66</v>
      </c>
      <c r="B67" s="255" t="str">
        <f>IFERROR(__xludf.DUMMYFUNCTION("""COMPUTED_VALUE"""),"Desain dan Stake Out Lokasi ABB-AR007")</f>
        <v>Desain dan Stake Out Lokasi ABB-AR007</v>
      </c>
      <c r="C67" s="255" t="str">
        <f>IFERROR(__xludf.DUMMYFUNCTION("""COMPUTED_VALUE"""),"Abab")</f>
        <v>Abab</v>
      </c>
      <c r="D67" s="255" t="str">
        <f>IFERROR(__xludf.DUMMYFUNCTION("""COMPUTED_VALUE"""),"013/PHR72410/2026-S5")</f>
        <v>013/PHR72410/2026-S5</v>
      </c>
      <c r="E67" s="255">
        <f>IFERROR(__xludf.DUMMYFUNCTION("""COMPUTED_VALUE"""),56)</f>
        <v>56</v>
      </c>
      <c r="F67" s="255">
        <f>IFERROR(__xludf.DUMMYFUNCTION("""COMPUTED_VALUE"""),0)</f>
        <v>0</v>
      </c>
      <c r="G67" s="256">
        <f>IFERROR(__xludf.DUMMYFUNCTION("""COMPUTED_VALUE"""),46087)</f>
        <v>46087</v>
      </c>
      <c r="H67" s="256">
        <f>IFERROR(__xludf.DUMMYFUNCTION("""COMPUTED_VALUE"""),46142)</f>
        <v>46142</v>
      </c>
      <c r="I67" s="257">
        <f>IFERROR(__xludf.DUMMYFUNCTION("""COMPUTED_VALUE"""),24092000)</f>
        <v>24092000</v>
      </c>
      <c r="J67" s="257">
        <f>IFERROR(__xludf.DUMMYFUNCTION("""COMPUTED_VALUE"""),20880000)</f>
        <v>20880000</v>
      </c>
      <c r="K67" s="258">
        <f>IFERROR(__xludf.DUMMYFUNCTION("""COMPUTED_VALUE"""),46198)</f>
        <v>46198</v>
      </c>
      <c r="L67" s="259">
        <f>IFERROR(__xludf.DUMMYFUNCTION("""COMPUTED_VALUE"""),20880000)</f>
        <v>20880000</v>
      </c>
      <c r="M67" s="258">
        <f>IFERROR(__xludf.DUMMYFUNCTION("""COMPUTED_VALUE"""),46162)</f>
        <v>46162</v>
      </c>
      <c r="N67" s="259">
        <f>IFERROR(__xludf.DUMMYFUNCTION("""COMPUTED_VALUE"""),20880000)</f>
        <v>20880000</v>
      </c>
      <c r="O67" s="255"/>
      <c r="P67" s="255"/>
      <c r="Q67" s="255"/>
      <c r="R67" s="260">
        <f>IFERROR(__xludf.DUMMYFUNCTION("""COMPUTED_VALUE"""),0)</f>
        <v>0</v>
      </c>
      <c r="S67" s="261" t="str">
        <f>IFERROR(__xludf.DUMMYFUNCTION("""COMPUTED_VALUE"""),"Belum Invoice")</f>
        <v>Belum Invoice</v>
      </c>
      <c r="T67" s="261"/>
    </row>
    <row r="68" customHeight="1" spans="1:20">
      <c r="A68" s="255">
        <f>IFERROR(__xludf.DUMMYFUNCTION("""COMPUTED_VALUE"""),67)</f>
        <v>67</v>
      </c>
      <c r="B68" s="255" t="str">
        <f>IFERROR(__xludf.DUMMYFUNCTION("""COMPUTED_VALUE"""),"Survey Akuisisi Data Lidar Fasilitas Produksi Flowline Gunung Kemala")</f>
        <v>Survey Akuisisi Data Lidar Fasilitas Produksi Flowline Gunung Kemala</v>
      </c>
      <c r="C68" s="255" t="str">
        <f>IFERROR(__xludf.DUMMYFUNCTION("""COMPUTED_VALUE"""),"Gunung Kemala")</f>
        <v>Gunung Kemala</v>
      </c>
      <c r="D68" s="255" t="str">
        <f>IFERROR(__xludf.DUMMYFUNCTION("""COMPUTED_VALUE"""),"014/PHR72410/2026-S0")</f>
        <v>014/PHR72410/2026-S0</v>
      </c>
      <c r="E68" s="255">
        <f>IFERROR(__xludf.DUMMYFUNCTION("""COMPUTED_VALUE"""),51)</f>
        <v>51</v>
      </c>
      <c r="F68" s="255">
        <f>IFERROR(__xludf.DUMMYFUNCTION("""COMPUTED_VALUE"""),12.06)</f>
        <v>12.06</v>
      </c>
      <c r="G68" s="256">
        <f>IFERROR(__xludf.DUMMYFUNCTION("""COMPUTED_VALUE"""),46090)</f>
        <v>46090</v>
      </c>
      <c r="H68" s="256">
        <f>IFERROR(__xludf.DUMMYFUNCTION("""COMPUTED_VALUE"""),46140)</f>
        <v>46140</v>
      </c>
      <c r="I68" s="257">
        <f>IFERROR(__xludf.DUMMYFUNCTION("""COMPUTED_VALUE"""),69426000)</f>
        <v>69426000</v>
      </c>
      <c r="J68" s="255"/>
      <c r="K68" s="255"/>
      <c r="L68" s="255"/>
      <c r="M68" s="255"/>
      <c r="N68" s="255"/>
      <c r="O68" s="255"/>
      <c r="P68" s="255"/>
      <c r="Q68" s="255"/>
      <c r="R68" s="260">
        <f>IFERROR(__xludf.DUMMYFUNCTION("""COMPUTED_VALUE"""),0)</f>
        <v>0</v>
      </c>
      <c r="S68" s="261" t="str">
        <f>IFERROR(__xludf.DUMMYFUNCTION("""COMPUTED_VALUE"""),"Belum Invoice")</f>
        <v>Belum Invoice</v>
      </c>
      <c r="T68" s="261"/>
    </row>
    <row r="69" customHeight="1" spans="1:20">
      <c r="A69" s="255">
        <f>IFERROR(__xludf.DUMMYFUNCTION("""COMPUTED_VALUE"""),68)</f>
        <v>68</v>
      </c>
      <c r="B69" s="255" t="str">
        <f>IFERROR(__xludf.DUMMYFUNCTION("""COMPUTED_VALUE"""),"Survey Pemetaan Reroute Akses Jalan BRG-U9")</f>
        <v>Survey Pemetaan Reroute Akses Jalan BRG-U9</v>
      </c>
      <c r="C69" s="255" t="str">
        <f>IFERROR(__xludf.DUMMYFUNCTION("""COMPUTED_VALUE"""),"Beringin")</f>
        <v>Beringin</v>
      </c>
      <c r="D69" s="255" t="str">
        <f>IFERROR(__xludf.DUMMYFUNCTION("""COMPUTED_VALUE"""),"016/PHR72410/2026-S0")</f>
        <v>016/PHR72410/2026-S0</v>
      </c>
      <c r="E69" s="255">
        <f>IFERROR(__xludf.DUMMYFUNCTION("""COMPUTED_VALUE"""),49)</f>
        <v>49</v>
      </c>
      <c r="F69" s="255">
        <f>IFERROR(__xludf.DUMMYFUNCTION("""COMPUTED_VALUE"""),0.26)</f>
        <v>0.26</v>
      </c>
      <c r="G69" s="256">
        <f>IFERROR(__xludf.DUMMYFUNCTION("""COMPUTED_VALUE"""),46094)</f>
        <v>46094</v>
      </c>
      <c r="H69" s="256">
        <f>IFERROR(__xludf.DUMMYFUNCTION("""COMPUTED_VALUE"""),46142)</f>
        <v>46142</v>
      </c>
      <c r="I69" s="257">
        <f>IFERROR(__xludf.DUMMYFUNCTION("""COMPUTED_VALUE"""),25675000)</f>
        <v>25675000</v>
      </c>
      <c r="J69" s="257">
        <f>IFERROR(__xludf.DUMMYFUNCTION("""COMPUTED_VALUE"""),24531000)</f>
        <v>24531000</v>
      </c>
      <c r="K69" s="258">
        <f>IFERROR(__xludf.DUMMYFUNCTION("""COMPUTED_VALUE"""),46198)</f>
        <v>46198</v>
      </c>
      <c r="L69" s="259">
        <f>IFERROR(__xludf.DUMMYFUNCTION("""COMPUTED_VALUE"""),24531000)</f>
        <v>24531000</v>
      </c>
      <c r="M69" s="258">
        <f>IFERROR(__xludf.DUMMYFUNCTION("""COMPUTED_VALUE"""),46167)</f>
        <v>46167</v>
      </c>
      <c r="N69" s="259">
        <f>IFERROR(__xludf.DUMMYFUNCTION("""COMPUTED_VALUE"""),24531000)</f>
        <v>24531000</v>
      </c>
      <c r="O69" s="255"/>
      <c r="P69" s="255"/>
      <c r="Q69" s="255"/>
      <c r="R69" s="260">
        <f>IFERROR(__xludf.DUMMYFUNCTION("""COMPUTED_VALUE"""),0)</f>
        <v>0</v>
      </c>
      <c r="S69" s="261" t="str">
        <f>IFERROR(__xludf.DUMMYFUNCTION("""COMPUTED_VALUE"""),"Belum Invoice")</f>
        <v>Belum Invoice</v>
      </c>
      <c r="T69" s="261"/>
    </row>
    <row r="70" customHeight="1" spans="1:20">
      <c r="A70" s="255">
        <f>IFERROR(__xludf.DUMMYFUNCTION("""COMPUTED_VALUE"""),69)</f>
        <v>69</v>
      </c>
      <c r="B70" s="255" t="str">
        <f>IFERROR(__xludf.DUMMYFUNCTION("""COMPUTED_VALUE"""),"Rencana Pengembangan SP II dan SP III ABAB")</f>
        <v>Rencana Pengembangan SP II dan SP III ABAB</v>
      </c>
      <c r="C70" s="255" t="str">
        <f>IFERROR(__xludf.DUMMYFUNCTION("""COMPUTED_VALUE"""),"ABAB")</f>
        <v>ABAB</v>
      </c>
      <c r="D70" s="255" t="str">
        <f>IFERROR(__xludf.DUMMYFUNCTION("""COMPUTED_VALUE"""),"017/PHR72410/2026-S0")</f>
        <v>017/PHR72410/2026-S0</v>
      </c>
      <c r="E70" s="255">
        <f>IFERROR(__xludf.DUMMYFUNCTION("""COMPUTED_VALUE"""),60)</f>
        <v>60</v>
      </c>
      <c r="F70" s="255">
        <f>IFERROR(__xludf.DUMMYFUNCTION("""COMPUTED_VALUE"""),41.62)</f>
        <v>41.62</v>
      </c>
      <c r="G70" s="256">
        <f>IFERROR(__xludf.DUMMYFUNCTION("""COMPUTED_VALUE"""),46113)</f>
        <v>46113</v>
      </c>
      <c r="H70" s="256">
        <f>IFERROR(__xludf.DUMMYFUNCTION("""COMPUTED_VALUE"""),46172)</f>
        <v>46172</v>
      </c>
      <c r="I70" s="257">
        <f>IFERROR(__xludf.DUMMYFUNCTION("""COMPUTED_VALUE"""),227234000)</f>
        <v>227234000</v>
      </c>
      <c r="J70" s="257">
        <f>IFERROR(__xludf.DUMMYFUNCTION("""COMPUTED_VALUE"""),226827000)</f>
        <v>226827000</v>
      </c>
      <c r="K70" s="258">
        <f>IFERROR(__xludf.DUMMYFUNCTION("""COMPUTED_VALUE"""),46198)</f>
        <v>46198</v>
      </c>
      <c r="L70" s="259">
        <f>IFERROR(__xludf.DUMMYFUNCTION("""COMPUTED_VALUE"""),226827000)</f>
        <v>226827000</v>
      </c>
      <c r="M70" s="258">
        <f>IFERROR(__xludf.DUMMYFUNCTION("""COMPUTED_VALUE"""),46188)</f>
        <v>46188</v>
      </c>
      <c r="N70" s="259">
        <f>IFERROR(__xludf.DUMMYFUNCTION("""COMPUTED_VALUE"""),226827000)</f>
        <v>226827000</v>
      </c>
      <c r="O70" s="255"/>
      <c r="P70" s="255"/>
      <c r="Q70" s="255"/>
      <c r="R70" s="260">
        <f>IFERROR(__xludf.DUMMYFUNCTION("""COMPUTED_VALUE"""),0)</f>
        <v>0</v>
      </c>
      <c r="S70" s="261" t="str">
        <f>IFERROR(__xludf.DUMMYFUNCTION("""COMPUTED_VALUE"""),"Belum Invoice")</f>
        <v>Belum Invoice</v>
      </c>
      <c r="T70" s="261"/>
    </row>
    <row r="71" customHeight="1" spans="1:20">
      <c r="A71" s="255">
        <f>IFERROR(__xludf.DUMMYFUNCTION("""COMPUTED_VALUE"""),70)</f>
        <v>70</v>
      </c>
      <c r="B71" s="255" t="str">
        <f>IFERROR(__xludf.DUMMYFUNCTION("""COMPUTED_VALUE"""),"Survey Pemetaan Jalur Flowline TMB-PG7")</f>
        <v>Survey Pemetaan Jalur Flowline TMB-PG7</v>
      </c>
      <c r="C71" s="255" t="str">
        <f>IFERROR(__xludf.DUMMYFUNCTION("""COMPUTED_VALUE"""),"Tanjung Miring")</f>
        <v>Tanjung Miring</v>
      </c>
      <c r="D71" s="255" t="str">
        <f>IFERROR(__xludf.DUMMYFUNCTION("""COMPUTED_VALUE"""),"032/PHR72410/2026-S0")</f>
        <v>032/PHR72410/2026-S0</v>
      </c>
      <c r="E71" s="255">
        <f>IFERROR(__xludf.DUMMYFUNCTION("""COMPUTED_VALUE"""),42)</f>
        <v>42</v>
      </c>
      <c r="F71" s="255">
        <f>IFERROR(__xludf.DUMMYFUNCTION("""COMPUTED_VALUE"""),1.99)</f>
        <v>1.99</v>
      </c>
      <c r="G71" s="256">
        <f>IFERROR(__xludf.DUMMYFUNCTION("""COMPUTED_VALUE"""),46149)</f>
        <v>46149</v>
      </c>
      <c r="H71" s="256">
        <f>IFERROR(__xludf.DUMMYFUNCTION("""COMPUTED_VALUE"""),46190)</f>
        <v>46190</v>
      </c>
      <c r="I71" s="257">
        <f>IFERROR(__xludf.DUMMYFUNCTION("""COMPUTED_VALUE"""),18007000)</f>
        <v>18007000</v>
      </c>
      <c r="J71" s="257">
        <f>IFERROR(__xludf.DUMMYFUNCTION("""COMPUTED_VALUE"""),13034000)</f>
        <v>13034000</v>
      </c>
      <c r="K71" s="258">
        <f>IFERROR(__xludf.DUMMYFUNCTION("""COMPUTED_VALUE"""),46198)</f>
        <v>46198</v>
      </c>
      <c r="L71" s="259">
        <f>IFERROR(__xludf.DUMMYFUNCTION("""COMPUTED_VALUE"""),13034000)</f>
        <v>13034000</v>
      </c>
      <c r="M71" s="258">
        <f>IFERROR(__xludf.DUMMYFUNCTION("""COMPUTED_VALUE"""),46188)</f>
        <v>46188</v>
      </c>
      <c r="N71" s="259">
        <f>IFERROR(__xludf.DUMMYFUNCTION("""COMPUTED_VALUE"""),13034000)</f>
        <v>13034000</v>
      </c>
      <c r="O71" s="255"/>
      <c r="P71" s="255"/>
      <c r="Q71" s="255"/>
      <c r="R71" s="260">
        <f>IFERROR(__xludf.DUMMYFUNCTION("""COMPUTED_VALUE"""),0)</f>
        <v>0</v>
      </c>
      <c r="S71" s="261" t="str">
        <f>IFERROR(__xludf.DUMMYFUNCTION("""COMPUTED_VALUE"""),"Belum Invoice")</f>
        <v>Belum Invoice</v>
      </c>
      <c r="T71" s="261"/>
    </row>
    <row r="72" customHeight="1" spans="1:20">
      <c r="A72" s="255">
        <f>IFERROR(__xludf.DUMMYFUNCTION("""COMPUTED_VALUE"""),71)</f>
        <v>71</v>
      </c>
      <c r="B72" s="255" t="str">
        <f>IFERROR(__xludf.DUMMYFUNCTION("""COMPUTED_VALUE"""),"Survey Topografi Jalur Flowline DWA-D3")</f>
        <v>Survey Topografi Jalur Flowline DWA-D3</v>
      </c>
      <c r="C72" s="255" t="str">
        <f>IFERROR(__xludf.DUMMYFUNCTION("""COMPUTED_VALUE"""),"Dewa")</f>
        <v>Dewa</v>
      </c>
      <c r="D72" s="255" t="str">
        <f>IFERROR(__xludf.DUMMYFUNCTION("""COMPUTED_VALUE"""),"031/PHR72410/2026-S0")</f>
        <v>031/PHR72410/2026-S0</v>
      </c>
      <c r="E72" s="255">
        <f>IFERROR(__xludf.DUMMYFUNCTION("""COMPUTED_VALUE"""),42)</f>
        <v>42</v>
      </c>
      <c r="F72" s="255">
        <f>IFERROR(__xludf.DUMMYFUNCTION("""COMPUTED_VALUE"""),8.02)</f>
        <v>8.02</v>
      </c>
      <c r="G72" s="256">
        <f>IFERROR(__xludf.DUMMYFUNCTION("""COMPUTED_VALUE"""),46156)</f>
        <v>46156</v>
      </c>
      <c r="H72" s="256">
        <f>IFERROR(__xludf.DUMMYFUNCTION("""COMPUTED_VALUE"""),46197)</f>
        <v>46197</v>
      </c>
      <c r="I72" s="257">
        <f>IFERROR(__xludf.DUMMYFUNCTION("""COMPUTED_VALUE"""),55966000)</f>
        <v>55966000</v>
      </c>
      <c r="J72" s="257">
        <f>IFERROR(__xludf.DUMMYFUNCTION("""COMPUTED_VALUE"""),52366000)</f>
        <v>52366000</v>
      </c>
      <c r="K72" s="258">
        <f>IFERROR(__xludf.DUMMYFUNCTION("""COMPUTED_VALUE"""),46228)</f>
        <v>46228</v>
      </c>
      <c r="L72" s="259">
        <f>IFERROR(__xludf.DUMMYFUNCTION("""COMPUTED_VALUE"""),52366000)</f>
        <v>52366000</v>
      </c>
      <c r="M72" s="258">
        <f>IFERROR(__xludf.DUMMYFUNCTION("""COMPUTED_VALUE"""),46188)</f>
        <v>46188</v>
      </c>
      <c r="N72" s="259">
        <f>IFERROR(__xludf.DUMMYFUNCTION("""COMPUTED_VALUE"""),52366000)</f>
        <v>52366000</v>
      </c>
      <c r="O72" s="255"/>
      <c r="P72" s="255"/>
      <c r="Q72" s="255"/>
      <c r="R72" s="260">
        <f>IFERROR(__xludf.DUMMYFUNCTION("""COMPUTED_VALUE"""),0)</f>
        <v>0</v>
      </c>
      <c r="S72" s="261" t="str">
        <f>IFERROR(__xludf.DUMMYFUNCTION("""COMPUTED_VALUE"""),"Belum Invoice")</f>
        <v>Belum Invoice</v>
      </c>
      <c r="T72" s="261"/>
    </row>
    <row r="73" customHeight="1" spans="1:20">
      <c r="A73" s="255">
        <f>IFERROR(__xludf.DUMMYFUNCTION("""COMPUTED_VALUE"""),72)</f>
        <v>72</v>
      </c>
      <c r="B73" s="255" t="str">
        <f>IFERROR(__xludf.DUMMYFUNCTION("""COMPUTED_VALUE"""),"Pekerjaan Stake Out GNK-PD28")</f>
        <v>Pekerjaan Stake Out GNK-PD28</v>
      </c>
      <c r="C73" s="255" t="str">
        <f>IFERROR(__xludf.DUMMYFUNCTION("""COMPUTED_VALUE"""),"Gunung Kemala")</f>
        <v>Gunung Kemala</v>
      </c>
      <c r="D73" s="255" t="str">
        <f>IFERROR(__xludf.DUMMYFUNCTION("""COMPUTED_VALUE"""),"027/PHR72410/2026-S0")</f>
        <v>027/PHR72410/2026-S0</v>
      </c>
      <c r="E73" s="255">
        <f>IFERROR(__xludf.DUMMYFUNCTION("""COMPUTED_VALUE"""),14)</f>
        <v>14</v>
      </c>
      <c r="F73" s="255">
        <f>IFERROR(__xludf.DUMMYFUNCTION("""COMPUTED_VALUE"""),0)</f>
        <v>0</v>
      </c>
      <c r="G73" s="256">
        <f>IFERROR(__xludf.DUMMYFUNCTION("""COMPUTED_VALUE"""),46143)</f>
        <v>46143</v>
      </c>
      <c r="H73" s="256">
        <f>IFERROR(__xludf.DUMMYFUNCTION("""COMPUTED_VALUE"""),46156)</f>
        <v>46156</v>
      </c>
      <c r="I73" s="257">
        <f>IFERROR(__xludf.DUMMYFUNCTION("""COMPUTED_VALUE"""),8898000)</f>
        <v>8898000</v>
      </c>
      <c r="J73" s="257">
        <f>IFERROR(__xludf.DUMMYFUNCTION("""COMPUTED_VALUE"""),8898000)</f>
        <v>8898000</v>
      </c>
      <c r="K73" s="258">
        <f>IFERROR(__xludf.DUMMYFUNCTION("""COMPUTED_VALUE"""),46228)</f>
        <v>46228</v>
      </c>
      <c r="L73" s="259">
        <f>IFERROR(__xludf.DUMMYFUNCTION("""COMPUTED_VALUE"""),8898000)</f>
        <v>8898000</v>
      </c>
      <c r="M73" s="258">
        <f>IFERROR(__xludf.DUMMYFUNCTION("""COMPUTED_VALUE"""),46233)</f>
        <v>46233</v>
      </c>
      <c r="N73" s="259">
        <f>IFERROR(__xludf.DUMMYFUNCTION("""COMPUTED_VALUE"""),8898000)</f>
        <v>8898000</v>
      </c>
      <c r="O73" s="255"/>
      <c r="P73" s="255"/>
      <c r="Q73" s="255"/>
      <c r="R73" s="260">
        <f>IFERROR(__xludf.DUMMYFUNCTION("""COMPUTED_VALUE"""),0)</f>
        <v>0</v>
      </c>
      <c r="S73" s="261" t="str">
        <f>IFERROR(__xludf.DUMMYFUNCTION("""COMPUTED_VALUE"""),"Belum Invoice")</f>
        <v>Belum Invoice</v>
      </c>
      <c r="T73" s="261"/>
    </row>
    <row r="74" customHeight="1" spans="1:20">
      <c r="A74" s="255">
        <f>IFERROR(__xludf.DUMMYFUNCTION("""COMPUTED_VALUE"""),73)</f>
        <v>73</v>
      </c>
      <c r="B74" s="255" t="str">
        <f>IFERROR(__xludf.DUMMYFUNCTION("""COMPUTED_VALUE"""),"Survey Pemetaan, Desain Siteplan Lokasi KRG-INF1")</f>
        <v>Survey Pemetaan, Desain Siteplan Lokasi KRG-INF1</v>
      </c>
      <c r="C74" s="255" t="str">
        <f>IFERROR(__xludf.DUMMYFUNCTION("""COMPUTED_VALUE"""),"Karangan")</f>
        <v>Karangan</v>
      </c>
      <c r="D74" s="255" t="str">
        <f>IFERROR(__xludf.DUMMYFUNCTION("""COMPUTED_VALUE"""),"028/PHR72410/2026-S0")</f>
        <v>028/PHR72410/2026-S0</v>
      </c>
      <c r="E74" s="255">
        <f>IFERROR(__xludf.DUMMYFUNCTION("""COMPUTED_VALUE"""),42)</f>
        <v>42</v>
      </c>
      <c r="F74" s="255">
        <f>IFERROR(__xludf.DUMMYFUNCTION("""COMPUTED_VALUE"""),2.6)</f>
        <v>2.6</v>
      </c>
      <c r="G74" s="256">
        <f>IFERROR(__xludf.DUMMYFUNCTION("""COMPUTED_VALUE"""),46143)</f>
        <v>46143</v>
      </c>
      <c r="H74" s="256">
        <f>IFERROR(__xludf.DUMMYFUNCTION("""COMPUTED_VALUE"""),46184)</f>
        <v>46184</v>
      </c>
      <c r="I74" s="257">
        <f>IFERROR(__xludf.DUMMYFUNCTION("""COMPUTED_VALUE"""),36301000)</f>
        <v>36301000</v>
      </c>
      <c r="J74" s="257">
        <f>IFERROR(__xludf.DUMMYFUNCTION("""COMPUTED_VALUE"""),35216000)</f>
        <v>35216000</v>
      </c>
      <c r="K74" s="258">
        <f>IFERROR(__xludf.DUMMYFUNCTION("""COMPUTED_VALUE"""),46198)</f>
        <v>46198</v>
      </c>
      <c r="L74" s="259">
        <f>IFERROR(__xludf.DUMMYFUNCTION("""COMPUTED_VALUE"""),35216000)</f>
        <v>35216000</v>
      </c>
      <c r="M74" s="258">
        <f>IFERROR(__xludf.DUMMYFUNCTION("""COMPUTED_VALUE"""),46188)</f>
        <v>46188</v>
      </c>
      <c r="N74" s="259">
        <f>IFERROR(__xludf.DUMMYFUNCTION("""COMPUTED_VALUE"""),35216000)</f>
        <v>35216000</v>
      </c>
      <c r="O74" s="255"/>
      <c r="P74" s="255"/>
      <c r="Q74" s="255"/>
      <c r="R74" s="260">
        <f>IFERROR(__xludf.DUMMYFUNCTION("""COMPUTED_VALUE"""),0)</f>
        <v>0</v>
      </c>
      <c r="S74" s="261" t="str">
        <f>IFERROR(__xludf.DUMMYFUNCTION("""COMPUTED_VALUE"""),"Belum Invoice")</f>
        <v>Belum Invoice</v>
      </c>
      <c r="T74" s="261"/>
    </row>
    <row r="75" customHeight="1" spans="1:20">
      <c r="A75" s="255">
        <f>IFERROR(__xludf.DUMMYFUNCTION("""COMPUTED_VALUE"""),74)</f>
        <v>74</v>
      </c>
      <c r="B75" s="255" t="str">
        <f>IFERROR(__xludf.DUMMYFUNCTION("""COMPUTED_VALUE"""),"Pekerjaan Stake Out LBA-X13")</f>
        <v>Pekerjaan Stake Out LBA-X13</v>
      </c>
      <c r="C75" s="255" t="str">
        <f>IFERROR(__xludf.DUMMYFUNCTION("""COMPUTED_VALUE"""),"Limau Barat")</f>
        <v>Limau Barat</v>
      </c>
      <c r="D75" s="255" t="str">
        <f>IFERROR(__xludf.DUMMYFUNCTION("""COMPUTED_VALUE"""),"029/PHR72410/2026-S0")</f>
        <v>029/PHR72410/2026-S0</v>
      </c>
      <c r="E75" s="255">
        <f>IFERROR(__xludf.DUMMYFUNCTION("""COMPUTED_VALUE"""),14)</f>
        <v>14</v>
      </c>
      <c r="F75" s="255">
        <f>IFERROR(__xludf.DUMMYFUNCTION("""COMPUTED_VALUE"""),0)</f>
        <v>0</v>
      </c>
      <c r="G75" s="256">
        <f>IFERROR(__xludf.DUMMYFUNCTION("""COMPUTED_VALUE"""),46143)</f>
        <v>46143</v>
      </c>
      <c r="H75" s="256">
        <f>IFERROR(__xludf.DUMMYFUNCTION("""COMPUTED_VALUE"""),46156)</f>
        <v>46156</v>
      </c>
      <c r="I75" s="257">
        <f>IFERROR(__xludf.DUMMYFUNCTION("""COMPUTED_VALUE"""),8669000)</f>
        <v>8669000</v>
      </c>
      <c r="J75" s="257">
        <f>IFERROR(__xludf.DUMMYFUNCTION("""COMPUTED_VALUE"""),8669000)</f>
        <v>8669000</v>
      </c>
      <c r="K75" s="258">
        <f>IFERROR(__xludf.DUMMYFUNCTION("""COMPUTED_VALUE"""),46228)</f>
        <v>46228</v>
      </c>
      <c r="L75" s="259">
        <f>IFERROR(__xludf.DUMMYFUNCTION("""COMPUTED_VALUE"""),8669000)</f>
        <v>8669000</v>
      </c>
      <c r="M75" s="258">
        <f>IFERROR(__xludf.DUMMYFUNCTION("""COMPUTED_VALUE"""),46233)</f>
        <v>46233</v>
      </c>
      <c r="N75" s="259">
        <f>IFERROR(__xludf.DUMMYFUNCTION("""COMPUTED_VALUE"""),8669000)</f>
        <v>8669000</v>
      </c>
      <c r="O75" s="255"/>
      <c r="P75" s="255"/>
      <c r="Q75" s="255"/>
      <c r="R75" s="260">
        <f>IFERROR(__xludf.DUMMYFUNCTION("""COMPUTED_VALUE"""),0)</f>
        <v>0</v>
      </c>
      <c r="S75" s="261" t="str">
        <f>IFERROR(__xludf.DUMMYFUNCTION("""COMPUTED_VALUE"""),"Belum Invoice")</f>
        <v>Belum Invoice</v>
      </c>
      <c r="T75" s="261"/>
    </row>
    <row r="76" customHeight="1" spans="1:20">
      <c r="A76" s="255">
        <f>IFERROR(__xludf.DUMMYFUNCTION("""COMPUTED_VALUE"""),75)</f>
        <v>75</v>
      </c>
      <c r="B76" s="255" t="str">
        <f>IFERROR(__xludf.DUMMYFUNCTION("""COMPUTED_VALUE"""),"Survey Pemetaan, Desain Site Plan Lokasi TMB-PG7")</f>
        <v>Survey Pemetaan, Desain Site Plan Lokasi TMB-PG7</v>
      </c>
      <c r="C76" s="255" t="str">
        <f>IFERROR(__xludf.DUMMYFUNCTION("""COMPUTED_VALUE"""),"Tanjung Miring")</f>
        <v>Tanjung Miring</v>
      </c>
      <c r="D76" s="255" t="str">
        <f>IFERROR(__xludf.DUMMYFUNCTION("""COMPUTED_VALUE"""),"030/PHR72410/2026-S0")</f>
        <v>030/PHR72410/2026-S0</v>
      </c>
      <c r="E76" s="255">
        <f>IFERROR(__xludf.DUMMYFUNCTION("""COMPUTED_VALUE"""),42)</f>
        <v>42</v>
      </c>
      <c r="F76" s="255">
        <f>IFERROR(__xludf.DUMMYFUNCTION("""COMPUTED_VALUE"""),3.77)</f>
        <v>3.77</v>
      </c>
      <c r="G76" s="256">
        <f>IFERROR(__xludf.DUMMYFUNCTION("""COMPUTED_VALUE"""),46143)</f>
        <v>46143</v>
      </c>
      <c r="H76" s="256">
        <f>IFERROR(__xludf.DUMMYFUNCTION("""COMPUTED_VALUE"""),46184)</f>
        <v>46184</v>
      </c>
      <c r="I76" s="257">
        <f>IFERROR(__xludf.DUMMYFUNCTION("""COMPUTED_VALUE"""),43777000)</f>
        <v>43777000</v>
      </c>
      <c r="J76" s="257">
        <f>IFERROR(__xludf.DUMMYFUNCTION("""COMPUTED_VALUE"""),40932000)</f>
        <v>40932000</v>
      </c>
      <c r="K76" s="258">
        <f>IFERROR(__xludf.DUMMYFUNCTION("""COMPUTED_VALUE"""),46198)</f>
        <v>46198</v>
      </c>
      <c r="L76" s="259">
        <f>IFERROR(__xludf.DUMMYFUNCTION("""COMPUTED_VALUE"""),40932000)</f>
        <v>40932000</v>
      </c>
      <c r="M76" s="258">
        <f>IFERROR(__xludf.DUMMYFUNCTION("""COMPUTED_VALUE"""),46188)</f>
        <v>46188</v>
      </c>
      <c r="N76" s="259">
        <f>IFERROR(__xludf.DUMMYFUNCTION("""COMPUTED_VALUE"""),40932000)</f>
        <v>40932000</v>
      </c>
      <c r="O76" s="255"/>
      <c r="P76" s="259">
        <f>IFERROR(__xludf.DUMMYFUNCTION("""COMPUTED_VALUE"""),40932000)</f>
        <v>40932000</v>
      </c>
      <c r="Q76" s="259">
        <f>IFERROR(__xludf.DUMMYFUNCTION("""COMPUTED_VALUE"""),0)</f>
        <v>0</v>
      </c>
      <c r="R76" s="260">
        <f>IFERROR(__xludf.DUMMYFUNCTION("""COMPUTED_VALUE"""),40932000)</f>
        <v>40932000</v>
      </c>
      <c r="S76" s="261" t="str">
        <f>IFERROR(__xludf.DUMMYFUNCTION("""COMPUTED_VALUE"""),"Invoice")</f>
        <v>Invoice</v>
      </c>
      <c r="T76" s="261"/>
    </row>
    <row r="77" customHeight="1" spans="1:20">
      <c r="A77" s="255">
        <f>IFERROR(__xludf.DUMMYFUNCTION("""COMPUTED_VALUE"""),76)</f>
        <v>76</v>
      </c>
      <c r="B77" s="255" t="str">
        <f>IFERROR(__xludf.DUMMYFUNCTION("""COMPUTED_VALUE"""),"Survey Pemetaan, Desain Site Plan Lokasi BKB-ST.02")</f>
        <v>Survey Pemetaan, Desain Site Plan Lokasi BKB-ST.02</v>
      </c>
      <c r="C77" s="255" t="str">
        <f>IFERROR(__xludf.DUMMYFUNCTION("""COMPUTED_VALUE"""),"Benakat")</f>
        <v>Benakat</v>
      </c>
      <c r="D77" s="255" t="str">
        <f>IFERROR(__xludf.DUMMYFUNCTION("""COMPUTED_VALUE"""),"033/PHR72410/2026-S0")</f>
        <v>033/PHR72410/2026-S0</v>
      </c>
      <c r="E77" s="255">
        <f>IFERROR(__xludf.DUMMYFUNCTION("""COMPUTED_VALUE"""),42)</f>
        <v>42</v>
      </c>
      <c r="F77" s="255">
        <f>IFERROR(__xludf.DUMMYFUNCTION("""COMPUTED_VALUE"""),2.52)</f>
        <v>2.52</v>
      </c>
      <c r="G77" s="256">
        <f>IFERROR(__xludf.DUMMYFUNCTION("""COMPUTED_VALUE"""),46143)</f>
        <v>46143</v>
      </c>
      <c r="H77" s="256">
        <f>IFERROR(__xludf.DUMMYFUNCTION("""COMPUTED_VALUE"""),46184)</f>
        <v>46184</v>
      </c>
      <c r="I77" s="257">
        <f>IFERROR(__xludf.DUMMYFUNCTION("""COMPUTED_VALUE"""),25874000)</f>
        <v>25874000</v>
      </c>
      <c r="J77" s="257">
        <f>IFERROR(__xludf.DUMMYFUNCTION("""COMPUTED_VALUE"""),24496000)</f>
        <v>24496000</v>
      </c>
      <c r="K77" s="258">
        <f>IFERROR(__xludf.DUMMYFUNCTION("""COMPUTED_VALUE"""),46228)</f>
        <v>46228</v>
      </c>
      <c r="L77" s="259">
        <f>IFERROR(__xludf.DUMMYFUNCTION("""COMPUTED_VALUE"""),24496000)</f>
        <v>24496000</v>
      </c>
      <c r="M77" s="258">
        <f>IFERROR(__xludf.DUMMYFUNCTION("""COMPUTED_VALUE"""),46188)</f>
        <v>46188</v>
      </c>
      <c r="N77" s="259">
        <f>IFERROR(__xludf.DUMMYFUNCTION("""COMPUTED_VALUE"""),24496000)</f>
        <v>24496000</v>
      </c>
      <c r="O77" s="255"/>
      <c r="P77" s="255"/>
      <c r="Q77" s="255"/>
      <c r="R77" s="260">
        <f>IFERROR(__xludf.DUMMYFUNCTION("""COMPUTED_VALUE"""),0)</f>
        <v>0</v>
      </c>
      <c r="S77" s="261" t="str">
        <f>IFERROR(__xludf.DUMMYFUNCTION("""COMPUTED_VALUE"""),"Belum Invoice")</f>
        <v>Belum Invoice</v>
      </c>
      <c r="T77" s="261"/>
    </row>
    <row r="78" customHeight="1" spans="1:20">
      <c r="A78" s="255">
        <f>IFERROR(__xludf.DUMMYFUNCTION("""COMPUTED_VALUE"""),77)</f>
        <v>77</v>
      </c>
      <c r="B78" s="255" t="str">
        <f>IFERROR(__xludf.DUMMYFUNCTION("""COMPUTED_VALUE"""),"Survey Pemetaan, Desain Site Plan Lokasi ABB-A6")</f>
        <v>Survey Pemetaan, Desain Site Plan Lokasi ABB-A6</v>
      </c>
      <c r="C78" s="255" t="str">
        <f>IFERROR(__xludf.DUMMYFUNCTION("""COMPUTED_VALUE"""),"ABAB")</f>
        <v>ABAB</v>
      </c>
      <c r="D78" s="255" t="str">
        <f>IFERROR(__xludf.DUMMYFUNCTION("""COMPUTED_VALUE"""),"034/PHR72410/2026-S0")</f>
        <v>034/PHR72410/2026-S0</v>
      </c>
      <c r="E78" s="255">
        <f>IFERROR(__xludf.DUMMYFUNCTION("""COMPUTED_VALUE"""),42)</f>
        <v>42</v>
      </c>
      <c r="F78" s="255">
        <f>IFERROR(__xludf.DUMMYFUNCTION("""COMPUTED_VALUE"""),2.49)</f>
        <v>2.49</v>
      </c>
      <c r="G78" s="256">
        <f>IFERROR(__xludf.DUMMYFUNCTION("""COMPUTED_VALUE"""),46143)</f>
        <v>46143</v>
      </c>
      <c r="H78" s="256">
        <f>IFERROR(__xludf.DUMMYFUNCTION("""COMPUTED_VALUE"""),46184)</f>
        <v>46184</v>
      </c>
      <c r="I78" s="257">
        <f>IFERROR(__xludf.DUMMYFUNCTION("""COMPUTED_VALUE"""),25309000)</f>
        <v>25309000</v>
      </c>
      <c r="J78" s="257">
        <f>IFERROR(__xludf.DUMMYFUNCTION("""COMPUTED_VALUE"""),23965000)</f>
        <v>23965000</v>
      </c>
      <c r="K78" s="258">
        <f>IFERROR(__xludf.DUMMYFUNCTION("""COMPUTED_VALUE"""),46228)</f>
        <v>46228</v>
      </c>
      <c r="L78" s="259">
        <f>IFERROR(__xludf.DUMMYFUNCTION("""COMPUTED_VALUE"""),23965000)</f>
        <v>23965000</v>
      </c>
      <c r="M78" s="258">
        <f>IFERROR(__xludf.DUMMYFUNCTION("""COMPUTED_VALUE"""),46188)</f>
        <v>46188</v>
      </c>
      <c r="N78" s="259">
        <f>IFERROR(__xludf.DUMMYFUNCTION("""COMPUTED_VALUE"""),23965000)</f>
        <v>23965000</v>
      </c>
      <c r="O78" s="258">
        <f>IFERROR(__xludf.DUMMYFUNCTION("""COMPUTED_VALUE"""),46241)</f>
        <v>46241</v>
      </c>
      <c r="P78" s="259">
        <f>IFERROR(__xludf.DUMMYFUNCTION("""COMPUTED_VALUE"""),23965000)</f>
        <v>23965000</v>
      </c>
      <c r="Q78" s="260">
        <f>IFERROR(__xludf.DUMMYFUNCTION("""COMPUTED_VALUE"""),0)</f>
        <v>0</v>
      </c>
      <c r="R78" s="260">
        <f>IFERROR(__xludf.DUMMYFUNCTION("""COMPUTED_VALUE"""),23965000)</f>
        <v>23965000</v>
      </c>
      <c r="S78" s="261" t="str">
        <f>IFERROR(__xludf.DUMMYFUNCTION("""COMPUTED_VALUE"""),"Invoice")</f>
        <v>Invoice</v>
      </c>
      <c r="T78" s="261"/>
    </row>
    <row r="79" customHeight="1" spans="1:20">
      <c r="A79" s="255">
        <f>IFERROR(__xludf.DUMMYFUNCTION("""COMPUTED_VALUE"""),78)</f>
        <v>78</v>
      </c>
      <c r="B79" s="255" t="str">
        <f>IFERROR(__xludf.DUMMYFUNCTION("""COMPUTED_VALUE"""),"Stake Out &amp; Inventaris Flowline NRB-B ")</f>
        <v>Stake Out &amp; Inventaris Flowline NRB-B </v>
      </c>
      <c r="C79" s="255" t="str">
        <f>IFERROR(__xludf.DUMMYFUNCTION("""COMPUTED_VALUE"""),"NIRU")</f>
        <v>NIRU</v>
      </c>
      <c r="D79" s="255" t="str">
        <f>IFERROR(__xludf.DUMMYFUNCTION("""COMPUTED_VALUE"""),"038/PHR72410/2026-S0")</f>
        <v>038/PHR72410/2026-S0</v>
      </c>
      <c r="E79" s="255">
        <f>IFERROR(__xludf.DUMMYFUNCTION("""COMPUTED_VALUE"""),30)</f>
        <v>30</v>
      </c>
      <c r="F79" s="255">
        <f>IFERROR(__xludf.DUMMYFUNCTION("""COMPUTED_VALUE"""),0)</f>
        <v>0</v>
      </c>
      <c r="G79" s="256">
        <f>IFERROR(__xludf.DUMMYFUNCTION("""COMPUTED_VALUE"""),46160)</f>
        <v>46160</v>
      </c>
      <c r="H79" s="256">
        <f>IFERROR(__xludf.DUMMYFUNCTION("""COMPUTED_VALUE"""),46189)</f>
        <v>46189</v>
      </c>
      <c r="I79" s="257">
        <f>IFERROR(__xludf.DUMMYFUNCTION("""COMPUTED_VALUE"""),23303000)</f>
        <v>23303000</v>
      </c>
      <c r="J79" s="257">
        <f>IFERROR(__xludf.DUMMYFUNCTION("""COMPUTED_VALUE"""),18176000)</f>
        <v>18176000</v>
      </c>
      <c r="K79" s="255"/>
      <c r="L79" s="255"/>
      <c r="M79" s="255"/>
      <c r="N79" s="259">
        <f>IFERROR(__xludf.DUMMYFUNCTION("""COMPUTED_VALUE"""),18176000)</f>
        <v>18176000</v>
      </c>
      <c r="O79" s="255"/>
      <c r="P79" s="255"/>
      <c r="Q79" s="255"/>
      <c r="R79" s="260">
        <f>IFERROR(__xludf.DUMMYFUNCTION("""COMPUTED_VALUE"""),0)</f>
        <v>0</v>
      </c>
      <c r="S79" s="261" t="str">
        <f>IFERROR(__xludf.DUMMYFUNCTION("""COMPUTED_VALUE"""),"Belum Invoice")</f>
        <v>Belum Invoice</v>
      </c>
      <c r="T79" s="261"/>
    </row>
    <row r="80" customHeight="1" spans="1:20">
      <c r="A80" s="255">
        <f>IFERROR(__xludf.DUMMYFUNCTION("""COMPUTED_VALUE"""),79)</f>
        <v>79</v>
      </c>
      <c r="B80" s="255" t="str">
        <f>IFERROR(__xludf.DUMMYFUNCTION("""COMPUTED_VALUE"""),"Stake Out &amp; Inventaris Lokasi Wilela")</f>
        <v>Stake Out &amp; Inventaris Lokasi Wilela</v>
      </c>
      <c r="C80" s="255" t="str">
        <f>IFERROR(__xludf.DUMMYFUNCTION("""COMPUTED_VALUE"""),"Wilela")</f>
        <v>Wilela</v>
      </c>
      <c r="D80" s="255" t="str">
        <f>IFERROR(__xludf.DUMMYFUNCTION("""COMPUTED_VALUE"""),"037/PHR72410/2026-S0")</f>
        <v>037/PHR72410/2026-S0</v>
      </c>
      <c r="E80" s="255">
        <f>IFERROR(__xludf.DUMMYFUNCTION("""COMPUTED_VALUE"""),90)</f>
        <v>90</v>
      </c>
      <c r="F80" s="255">
        <f>IFERROR(__xludf.DUMMYFUNCTION("""COMPUTED_VALUE"""),0)</f>
        <v>0</v>
      </c>
      <c r="G80" s="256">
        <f>IFERROR(__xludf.DUMMYFUNCTION("""COMPUTED_VALUE"""),46154)</f>
        <v>46154</v>
      </c>
      <c r="H80" s="256">
        <f>IFERROR(__xludf.DUMMYFUNCTION("""COMPUTED_VALUE"""),46243)</f>
        <v>46243</v>
      </c>
      <c r="I80" s="257">
        <f>IFERROR(__xludf.DUMMYFUNCTION("""COMPUTED_VALUE"""),369419000)</f>
        <v>369419000</v>
      </c>
      <c r="J80" s="257">
        <f>IFERROR(__xludf.DUMMYFUNCTION("""COMPUTED_VALUE"""),246197000)</f>
        <v>246197000</v>
      </c>
      <c r="K80" s="258">
        <f>IFERROR(__xludf.DUMMYFUNCTION("""COMPUTED_VALUE"""),46259)</f>
        <v>46259</v>
      </c>
      <c r="L80" s="259">
        <f>IFERROR(__xludf.DUMMYFUNCTION("""COMPUTED_VALUE"""),246197000)</f>
        <v>246197000</v>
      </c>
      <c r="M80" s="258">
        <f>IFERROR(__xludf.DUMMYFUNCTION("""COMPUTED_VALUE"""),46255)</f>
        <v>46255</v>
      </c>
      <c r="N80" s="260">
        <f>IFERROR(__xludf.DUMMYFUNCTION("""COMPUTED_VALUE"""),246197000)</f>
        <v>246197000</v>
      </c>
      <c r="O80" s="255"/>
      <c r="P80" s="255"/>
      <c r="Q80" s="255"/>
      <c r="R80" s="260">
        <f>IFERROR(__xludf.DUMMYFUNCTION("""COMPUTED_VALUE"""),0)</f>
        <v>0</v>
      </c>
      <c r="S80" s="261" t="str">
        <f>IFERROR(__xludf.DUMMYFUNCTION("""COMPUTED_VALUE"""),"Belum Invoice")</f>
        <v>Belum Invoice</v>
      </c>
      <c r="T80" s="261"/>
    </row>
    <row r="81" customHeight="1" spans="1:20">
      <c r="A81" s="255">
        <f>IFERROR(__xludf.DUMMYFUNCTION("""COMPUTED_VALUE"""),80)</f>
        <v>80</v>
      </c>
      <c r="B81" s="255" t="str">
        <f>IFERROR(__xludf.DUMMYFUNCTION("""COMPUTED_VALUE"""),"Survey Pemetaan, Desain Site Plan Lokasi BKB-AR.013")</f>
        <v>Survey Pemetaan, Desain Site Plan Lokasi BKB-AR.013</v>
      </c>
      <c r="C81" s="255" t="str">
        <f>IFERROR(__xludf.DUMMYFUNCTION("""COMPUTED_VALUE"""),"Benakat")</f>
        <v>Benakat</v>
      </c>
      <c r="D81" s="255" t="str">
        <f>IFERROR(__xludf.DUMMYFUNCTION("""COMPUTED_VALUE"""),"044/PHR72410/2026-S0")</f>
        <v>044/PHR72410/2026-S0</v>
      </c>
      <c r="E81" s="255">
        <f>IFERROR(__xludf.DUMMYFUNCTION("""COMPUTED_VALUE"""),42)</f>
        <v>42</v>
      </c>
      <c r="F81" s="255">
        <f>IFERROR(__xludf.DUMMYFUNCTION("""COMPUTED_VALUE"""),6.97)</f>
        <v>6.97</v>
      </c>
      <c r="G81" s="256">
        <f>IFERROR(__xludf.DUMMYFUNCTION("""COMPUTED_VALUE"""),46171)</f>
        <v>46171</v>
      </c>
      <c r="H81" s="256">
        <f>IFERROR(__xludf.DUMMYFUNCTION("""COMPUTED_VALUE"""),46212)</f>
        <v>46212</v>
      </c>
      <c r="I81" s="257">
        <f>IFERROR(__xludf.DUMMYFUNCTION("""COMPUTED_VALUE"""),62825000)</f>
        <v>62825000</v>
      </c>
      <c r="J81" s="257">
        <f>IFERROR(__xludf.DUMMYFUNCTION("""COMPUTED_VALUE"""),60159000)</f>
        <v>60159000</v>
      </c>
      <c r="K81" s="258">
        <f>IFERROR(__xludf.DUMMYFUNCTION("""COMPUTED_VALUE"""),46228)</f>
        <v>46228</v>
      </c>
      <c r="L81" s="259">
        <f>IFERROR(__xludf.DUMMYFUNCTION("""COMPUTED_VALUE"""),60159000)</f>
        <v>60159000</v>
      </c>
      <c r="M81" s="258">
        <f>IFERROR(__xludf.DUMMYFUNCTION("""COMPUTED_VALUE"""),46233)</f>
        <v>46233</v>
      </c>
      <c r="N81" s="260">
        <f>IFERROR(__xludf.DUMMYFUNCTION("""COMPUTED_VALUE"""),60159000)</f>
        <v>60159000</v>
      </c>
      <c r="O81" s="255"/>
      <c r="P81" s="255"/>
      <c r="Q81" s="255"/>
      <c r="R81" s="260">
        <f>IFERROR(__xludf.DUMMYFUNCTION("""COMPUTED_VALUE"""),0)</f>
        <v>0</v>
      </c>
      <c r="S81" s="261" t="str">
        <f>IFERROR(__xludf.DUMMYFUNCTION("""COMPUTED_VALUE"""),"Belum Invoice")</f>
        <v>Belum Invoice</v>
      </c>
      <c r="T81" s="261"/>
    </row>
    <row r="82" customHeight="1" spans="1:20">
      <c r="A82" s="255">
        <f>IFERROR(__xludf.DUMMYFUNCTION("""COMPUTED_VALUE"""),81)</f>
        <v>81</v>
      </c>
      <c r="B82" s="255" t="str">
        <f>IFERROR(__xludf.DUMMYFUNCTION("""COMPUTED_VALUE"""),"Survey Pemetaan, Desain Site Plan Lokasi GNK-PD78")</f>
        <v>Survey Pemetaan, Desain Site Plan Lokasi GNK-PD78</v>
      </c>
      <c r="C82" s="255" t="str">
        <f>IFERROR(__xludf.DUMMYFUNCTION("""COMPUTED_VALUE"""),"Gunung Kemala")</f>
        <v>Gunung Kemala</v>
      </c>
      <c r="D82" s="255" t="str">
        <f>IFERROR(__xludf.DUMMYFUNCTION("""COMPUTED_VALUE"""),"043/PHR72410/2026-S0")</f>
        <v>043/PHR72410/2026-S0</v>
      </c>
      <c r="E82" s="255">
        <f>IFERROR(__xludf.DUMMYFUNCTION("""COMPUTED_VALUE"""),42)</f>
        <v>42</v>
      </c>
      <c r="F82" s="255">
        <f>IFERROR(__xludf.DUMMYFUNCTION("""COMPUTED_VALUE"""),7.99)</f>
        <v>7.99</v>
      </c>
      <c r="G82" s="256">
        <f>IFERROR(__xludf.DUMMYFUNCTION("""COMPUTED_VALUE"""),46171)</f>
        <v>46171</v>
      </c>
      <c r="H82" s="256">
        <f>IFERROR(__xludf.DUMMYFUNCTION("""COMPUTED_VALUE"""),46212)</f>
        <v>46212</v>
      </c>
      <c r="I82" s="257">
        <f>IFERROR(__xludf.DUMMYFUNCTION("""COMPUTED_VALUE"""),95846000)</f>
        <v>95846000</v>
      </c>
      <c r="J82" s="257">
        <f>IFERROR(__xludf.DUMMYFUNCTION("""COMPUTED_VALUE"""),69129000)</f>
        <v>69129000</v>
      </c>
      <c r="K82" s="258">
        <f>IFERROR(__xludf.DUMMYFUNCTION("""COMPUTED_VALUE"""),46228)</f>
        <v>46228</v>
      </c>
      <c r="L82" s="259">
        <f>IFERROR(__xludf.DUMMYFUNCTION("""COMPUTED_VALUE"""),69129000)</f>
        <v>69129000</v>
      </c>
      <c r="M82" s="258">
        <f>IFERROR(__xludf.DUMMYFUNCTION("""COMPUTED_VALUE"""),46233)</f>
        <v>46233</v>
      </c>
      <c r="N82" s="260">
        <f>IFERROR(__xludf.DUMMYFUNCTION("""COMPUTED_VALUE"""),69129000)</f>
        <v>69129000</v>
      </c>
      <c r="O82" s="255"/>
      <c r="P82" s="255"/>
      <c r="Q82" s="255"/>
      <c r="R82" s="260">
        <f>IFERROR(__xludf.DUMMYFUNCTION("""COMPUTED_VALUE"""),0)</f>
        <v>0</v>
      </c>
      <c r="S82" s="261" t="str">
        <f>IFERROR(__xludf.DUMMYFUNCTION("""COMPUTED_VALUE"""),"Belum Invoice")</f>
        <v>Belum Invoice</v>
      </c>
      <c r="T82" s="261"/>
    </row>
    <row r="83" customHeight="1" spans="1:20">
      <c r="A83" s="255">
        <f>IFERROR(__xludf.DUMMYFUNCTION("""COMPUTED_VALUE"""),82)</f>
        <v>82</v>
      </c>
      <c r="B83" s="255" t="str">
        <f>IFERROR(__xludf.DUMMYFUNCTION("""COMPUTED_VALUE"""),"Survey Pemetaan, Desain Site Plan Lokasi BKB-ST.04")</f>
        <v>Survey Pemetaan, Desain Site Plan Lokasi BKB-ST.04</v>
      </c>
      <c r="C83" s="255" t="str">
        <f>IFERROR(__xludf.DUMMYFUNCTION("""COMPUTED_VALUE"""),"Benakat")</f>
        <v>Benakat</v>
      </c>
      <c r="D83" s="255" t="str">
        <f>IFERROR(__xludf.DUMMYFUNCTION("""COMPUTED_VALUE"""),"042/PHR72410/2026-S0")</f>
        <v>042/PHR72410/2026-S0</v>
      </c>
      <c r="E83" s="255">
        <f>IFERROR(__xludf.DUMMYFUNCTION("""COMPUTED_VALUE"""),42)</f>
        <v>42</v>
      </c>
      <c r="F83" s="255">
        <f>IFERROR(__xludf.DUMMYFUNCTION("""COMPUTED_VALUE"""),6.8)</f>
        <v>6.8</v>
      </c>
      <c r="G83" s="256">
        <f>IFERROR(__xludf.DUMMYFUNCTION("""COMPUTED_VALUE"""),46171)</f>
        <v>46171</v>
      </c>
      <c r="H83" s="256">
        <f>IFERROR(__xludf.DUMMYFUNCTION("""COMPUTED_VALUE"""),46212)</f>
        <v>46212</v>
      </c>
      <c r="I83" s="257">
        <f>IFERROR(__xludf.DUMMYFUNCTION("""COMPUTED_VALUE"""),64282000)</f>
        <v>64282000</v>
      </c>
      <c r="J83" s="257">
        <f>IFERROR(__xludf.DUMMYFUNCTION("""COMPUTED_VALUE"""),60901000)</f>
        <v>60901000</v>
      </c>
      <c r="K83" s="258">
        <f>IFERROR(__xludf.DUMMYFUNCTION("""COMPUTED_VALUE"""),46228)</f>
        <v>46228</v>
      </c>
      <c r="L83" s="259">
        <f>IFERROR(__xludf.DUMMYFUNCTION("""COMPUTED_VALUE"""),60901000)</f>
        <v>60901000</v>
      </c>
      <c r="M83" s="258">
        <f>IFERROR(__xludf.DUMMYFUNCTION("""COMPUTED_VALUE"""),46233)</f>
        <v>46233</v>
      </c>
      <c r="N83" s="260">
        <f>IFERROR(__xludf.DUMMYFUNCTION("""COMPUTED_VALUE"""),60901000)</f>
        <v>60901000</v>
      </c>
      <c r="O83" s="255"/>
      <c r="P83" s="255"/>
      <c r="Q83" s="255"/>
      <c r="R83" s="260">
        <f>IFERROR(__xludf.DUMMYFUNCTION("""COMPUTED_VALUE"""),0)</f>
        <v>0</v>
      </c>
      <c r="S83" s="261" t="str">
        <f>IFERROR(__xludf.DUMMYFUNCTION("""COMPUTED_VALUE"""),"Belum Invoice")</f>
        <v>Belum Invoice</v>
      </c>
      <c r="T83" s="261"/>
    </row>
    <row r="84" customHeight="1" spans="1:20">
      <c r="A84" s="255">
        <f>IFERROR(__xludf.DUMMYFUNCTION("""COMPUTED_VALUE"""),83)</f>
        <v>83</v>
      </c>
      <c r="B84" s="255" t="str">
        <f>IFERROR(__xludf.DUMMYFUNCTION("""COMPUTED_VALUE"""),"Survey Pemetaan, Desain Site Plan Lokasi BKB-AR.015")</f>
        <v>Survey Pemetaan, Desain Site Plan Lokasi BKB-AR.015</v>
      </c>
      <c r="C84" s="255" t="str">
        <f>IFERROR(__xludf.DUMMYFUNCTION("""COMPUTED_VALUE"""),"Benakat")</f>
        <v>Benakat</v>
      </c>
      <c r="D84" s="255" t="str">
        <f>IFERROR(__xludf.DUMMYFUNCTION("""COMPUTED_VALUE"""),"045/PHR72410/2026-S0")</f>
        <v>045/PHR72410/2026-S0</v>
      </c>
      <c r="E84" s="255">
        <f>IFERROR(__xludf.DUMMYFUNCTION("""COMPUTED_VALUE"""),42)</f>
        <v>42</v>
      </c>
      <c r="F84" s="255">
        <f>IFERROR(__xludf.DUMMYFUNCTION("""COMPUTED_VALUE"""),4.36)</f>
        <v>4.36</v>
      </c>
      <c r="G84" s="256">
        <f>IFERROR(__xludf.DUMMYFUNCTION("""COMPUTED_VALUE"""),46171)</f>
        <v>46171</v>
      </c>
      <c r="H84" s="256">
        <f>IFERROR(__xludf.DUMMYFUNCTION("""COMPUTED_VALUE"""),46212)</f>
        <v>46212</v>
      </c>
      <c r="I84" s="257">
        <f>IFERROR(__xludf.DUMMYFUNCTION("""COMPUTED_VALUE"""),55017000)</f>
        <v>55017000</v>
      </c>
      <c r="J84" s="257">
        <f>IFERROR(__xludf.DUMMYFUNCTION("""COMPUTED_VALUE"""),50892000)</f>
        <v>50892000</v>
      </c>
      <c r="K84" s="258">
        <f>IFERROR(__xludf.DUMMYFUNCTION("""COMPUTED_VALUE"""),46228)</f>
        <v>46228</v>
      </c>
      <c r="L84" s="259">
        <f>IFERROR(__xludf.DUMMYFUNCTION("""COMPUTED_VALUE"""),50892000)</f>
        <v>50892000</v>
      </c>
      <c r="M84" s="258">
        <f>IFERROR(__xludf.DUMMYFUNCTION("""COMPUTED_VALUE"""),46233)</f>
        <v>46233</v>
      </c>
      <c r="N84" s="260">
        <f>IFERROR(__xludf.DUMMYFUNCTION("""COMPUTED_VALUE"""),50892000)</f>
        <v>50892000</v>
      </c>
      <c r="O84" s="255"/>
      <c r="P84" s="255"/>
      <c r="Q84" s="255"/>
      <c r="R84" s="260">
        <f>IFERROR(__xludf.DUMMYFUNCTION("""COMPUTED_VALUE"""),0)</f>
        <v>0</v>
      </c>
      <c r="S84" s="261" t="str">
        <f>IFERROR(__xludf.DUMMYFUNCTION("""COMPUTED_VALUE"""),"Belum Invoice")</f>
        <v>Belum Invoice</v>
      </c>
      <c r="T84" s="261"/>
    </row>
    <row r="85" customHeight="1" spans="1:20">
      <c r="A85" s="255">
        <f>IFERROR(__xludf.DUMMYFUNCTION("""COMPUTED_VALUE"""),84)</f>
        <v>84</v>
      </c>
      <c r="B85" s="255" t="str">
        <f>IFERROR(__xludf.DUMMYFUNCTION("""COMPUTED_VALUE"""),"Survey Pemetaan, Desain Site Plan Lokasi BNG-A17")</f>
        <v>Survey Pemetaan, Desain Site Plan Lokasi BNG-A17</v>
      </c>
      <c r="C85" s="255" t="str">
        <f>IFERROR(__xludf.DUMMYFUNCTION("""COMPUTED_VALUE"""),"Benuang")</f>
        <v>Benuang</v>
      </c>
      <c r="D85" s="255" t="str">
        <f>IFERROR(__xludf.DUMMYFUNCTION("""COMPUTED_VALUE"""),"051/PHR72410/2026-S0")</f>
        <v>051/PHR72410/2026-S0</v>
      </c>
      <c r="E85" s="255">
        <f>IFERROR(__xludf.DUMMYFUNCTION("""COMPUTED_VALUE"""),98)</f>
        <v>98</v>
      </c>
      <c r="F85" s="255">
        <f>IFERROR(__xludf.DUMMYFUNCTION("""COMPUTED_VALUE"""),3.25)</f>
        <v>3.25</v>
      </c>
      <c r="G85" s="256">
        <f>IFERROR(__xludf.DUMMYFUNCTION("""COMPUTED_VALUE"""),46178)</f>
        <v>46178</v>
      </c>
      <c r="H85" s="256">
        <f>IFERROR(__xludf.DUMMYFUNCTION("""COMPUTED_VALUE"""),46275)</f>
        <v>46275</v>
      </c>
      <c r="I85" s="257">
        <f>IFERROR(__xludf.DUMMYFUNCTION("""COMPUTED_VALUE"""),52840000)</f>
        <v>52840000</v>
      </c>
      <c r="J85" s="257">
        <f>IFERROR(__xludf.DUMMYFUNCTION("""COMPUTED_VALUE"""),48053000)</f>
        <v>48053000</v>
      </c>
      <c r="K85" s="255"/>
      <c r="L85" s="255"/>
      <c r="M85" s="258">
        <f>IFERROR(__xludf.DUMMYFUNCTION("""COMPUTED_VALUE"""),46261)</f>
        <v>46261</v>
      </c>
      <c r="N85" s="260">
        <f>IFERROR(__xludf.DUMMYFUNCTION("""COMPUTED_VALUE"""),48053000)</f>
        <v>48053000</v>
      </c>
      <c r="O85" s="255"/>
      <c r="P85" s="255"/>
      <c r="Q85" s="255"/>
      <c r="R85" s="260">
        <f>IFERROR(__xludf.DUMMYFUNCTION("""COMPUTED_VALUE"""),0)</f>
        <v>0</v>
      </c>
      <c r="S85" s="261" t="str">
        <f>IFERROR(__xludf.DUMMYFUNCTION("""COMPUTED_VALUE"""),"Belum Invoice")</f>
        <v>Belum Invoice</v>
      </c>
      <c r="T85" s="261"/>
    </row>
    <row r="86" customHeight="1" spans="1:20">
      <c r="A86" s="255">
        <f>IFERROR(__xludf.DUMMYFUNCTION("""COMPUTED_VALUE"""),85)</f>
        <v>85</v>
      </c>
      <c r="B86" s="255" t="str">
        <f>IFERROR(__xludf.DUMMYFUNCTION("""COMPUTED_VALUE"""),"Survey Pemetaan, Desain Site Plan Lokasi TMB-PG6")</f>
        <v>Survey Pemetaan, Desain Site Plan Lokasi TMB-PG6</v>
      </c>
      <c r="C86" s="255" t="str">
        <f>IFERROR(__xludf.DUMMYFUNCTION("""COMPUTED_VALUE"""),"Tanjung Miring")</f>
        <v>Tanjung Miring</v>
      </c>
      <c r="D86" s="255" t="str">
        <f>IFERROR(__xludf.DUMMYFUNCTION("""COMPUTED_VALUE"""),"050/PHR72410/2026-S0")</f>
        <v>050/PHR72410/2026-S0</v>
      </c>
      <c r="E86" s="255">
        <f>IFERROR(__xludf.DUMMYFUNCTION("""COMPUTED_VALUE"""),84)</f>
        <v>84</v>
      </c>
      <c r="F86" s="255">
        <f>IFERROR(__xludf.DUMMYFUNCTION("""COMPUTED_VALUE"""),4.74)</f>
        <v>4.74</v>
      </c>
      <c r="G86" s="256">
        <f>IFERROR(__xludf.DUMMYFUNCTION("""COMPUTED_VALUE"""),46178)</f>
        <v>46178</v>
      </c>
      <c r="H86" s="256">
        <f>IFERROR(__xludf.DUMMYFUNCTION("""COMPUTED_VALUE"""),46261)</f>
        <v>46261</v>
      </c>
      <c r="I86" s="257">
        <f>IFERROR(__xludf.DUMMYFUNCTION("""COMPUTED_VALUE"""),43656000)</f>
        <v>43656000</v>
      </c>
      <c r="J86" s="257">
        <f>IFERROR(__xludf.DUMMYFUNCTION("""COMPUTED_VALUE"""),35338000)</f>
        <v>35338000</v>
      </c>
      <c r="K86" s="258">
        <f>IFERROR(__xludf.DUMMYFUNCTION("""COMPUTED_VALUE"""),46259)</f>
        <v>46259</v>
      </c>
      <c r="L86" s="259">
        <f>IFERROR(__xludf.DUMMYFUNCTION("""COMPUTED_VALUE"""),35338000)</f>
        <v>35338000</v>
      </c>
      <c r="M86" s="258">
        <f>IFERROR(__xludf.DUMMYFUNCTION("""COMPUTED_VALUE"""),46255)</f>
        <v>46255</v>
      </c>
      <c r="N86" s="260">
        <f>IFERROR(__xludf.DUMMYFUNCTION("""COMPUTED_VALUE"""),35338000)</f>
        <v>35338000</v>
      </c>
      <c r="O86" s="255"/>
      <c r="P86" s="255"/>
      <c r="Q86" s="255"/>
      <c r="R86" s="260">
        <f>IFERROR(__xludf.DUMMYFUNCTION("""COMPUTED_VALUE"""),0)</f>
        <v>0</v>
      </c>
      <c r="S86" s="261" t="str">
        <f>IFERROR(__xludf.DUMMYFUNCTION("""COMPUTED_VALUE"""),"Belum Invoice")</f>
        <v>Belum Invoice</v>
      </c>
      <c r="T86" s="261"/>
    </row>
    <row r="87" customHeight="1" spans="1:20">
      <c r="A87" s="255">
        <f>IFERROR(__xludf.DUMMYFUNCTION("""COMPUTED_VALUE"""),86)</f>
        <v>86</v>
      </c>
      <c r="B87" s="255" t="str">
        <f>IFERROR(__xludf.DUMMYFUNCTION("""COMPUTED_VALUE"""),"Survey Pemetaan, Desain Site Plan Lokasi BEL-K11")</f>
        <v>Survey Pemetaan, Desain Site Plan Lokasi BEL-K11</v>
      </c>
      <c r="C87" s="255" t="str">
        <f>IFERROR(__xludf.DUMMYFUNCTION("""COMPUTED_VALUE"""),"Belimbing")</f>
        <v>Belimbing</v>
      </c>
      <c r="D87" s="255" t="str">
        <f>IFERROR(__xludf.DUMMYFUNCTION("""COMPUTED_VALUE"""),"049/PHR72410/2026-S0")</f>
        <v>049/PHR72410/2026-S0</v>
      </c>
      <c r="E87" s="255">
        <f>IFERROR(__xludf.DUMMYFUNCTION("""COMPUTED_VALUE"""),42)</f>
        <v>42</v>
      </c>
      <c r="F87" s="255">
        <f>IFERROR(__xludf.DUMMYFUNCTION("""COMPUTED_VALUE"""),5.86)</f>
        <v>5.86</v>
      </c>
      <c r="G87" s="256">
        <f>IFERROR(__xludf.DUMMYFUNCTION("""COMPUTED_VALUE"""),46178)</f>
        <v>46178</v>
      </c>
      <c r="H87" s="256">
        <f>IFERROR(__xludf.DUMMYFUNCTION("""COMPUTED_VALUE"""),46219)</f>
        <v>46219</v>
      </c>
      <c r="I87" s="257">
        <f>IFERROR(__xludf.DUMMYFUNCTION("""COMPUTED_VALUE"""),57938000)</f>
        <v>57938000</v>
      </c>
      <c r="J87" s="257">
        <f>IFERROR(__xludf.DUMMYFUNCTION("""COMPUTED_VALUE"""),54828000)</f>
        <v>54828000</v>
      </c>
      <c r="K87" s="258">
        <f>IFERROR(__xludf.DUMMYFUNCTION("""COMPUTED_VALUE"""),46228)</f>
        <v>46228</v>
      </c>
      <c r="L87" s="259">
        <f>IFERROR(__xludf.DUMMYFUNCTION("""COMPUTED_VALUE"""),54828000)</f>
        <v>54828000</v>
      </c>
      <c r="M87" s="258">
        <f>IFERROR(__xludf.DUMMYFUNCTION("""COMPUTED_VALUE"""),46233)</f>
        <v>46233</v>
      </c>
      <c r="N87" s="260">
        <f>IFERROR(__xludf.DUMMYFUNCTION("""COMPUTED_VALUE"""),54828000)</f>
        <v>54828000</v>
      </c>
      <c r="O87" s="255"/>
      <c r="P87" s="255"/>
      <c r="Q87" s="255"/>
      <c r="R87" s="260">
        <f>IFERROR(__xludf.DUMMYFUNCTION("""COMPUTED_VALUE"""),0)</f>
        <v>0</v>
      </c>
      <c r="S87" s="261" t="str">
        <f>IFERROR(__xludf.DUMMYFUNCTION("""COMPUTED_VALUE"""),"Belum Invoice")</f>
        <v>Belum Invoice</v>
      </c>
      <c r="T87" s="261"/>
    </row>
    <row r="88" customHeight="1" spans="1:20">
      <c r="A88" s="255">
        <f>IFERROR(__xludf.DUMMYFUNCTION("""COMPUTED_VALUE"""),87)</f>
        <v>87</v>
      </c>
      <c r="B88" s="255" t="str">
        <f>IFERROR(__xludf.DUMMYFUNCTION("""COMPUTED_VALUE"""),"Survey Pemetaan, Desain Site Plan Lokasi BEL-K12")</f>
        <v>Survey Pemetaan, Desain Site Plan Lokasi BEL-K12</v>
      </c>
      <c r="C88" s="255" t="str">
        <f>IFERROR(__xludf.DUMMYFUNCTION("""COMPUTED_VALUE"""),"Belimbing")</f>
        <v>Belimbing</v>
      </c>
      <c r="D88" s="255" t="str">
        <f>IFERROR(__xludf.DUMMYFUNCTION("""COMPUTED_VALUE"""),"048/PHR72410/2026-S0")</f>
        <v>048/PHR72410/2026-S0</v>
      </c>
      <c r="E88" s="255">
        <f>IFERROR(__xludf.DUMMYFUNCTION("""COMPUTED_VALUE"""),42)</f>
        <v>42</v>
      </c>
      <c r="F88" s="255">
        <f>IFERROR(__xludf.DUMMYFUNCTION("""COMPUTED_VALUE"""),4.83)</f>
        <v>4.83</v>
      </c>
      <c r="G88" s="256">
        <f>IFERROR(__xludf.DUMMYFUNCTION("""COMPUTED_VALUE"""),46178)</f>
        <v>46178</v>
      </c>
      <c r="H88" s="256">
        <f>IFERROR(__xludf.DUMMYFUNCTION("""COMPUTED_VALUE"""),46219)</f>
        <v>46219</v>
      </c>
      <c r="I88" s="257">
        <f>IFERROR(__xludf.DUMMYFUNCTION("""COMPUTED_VALUE"""),55270000)</f>
        <v>55270000</v>
      </c>
      <c r="J88" s="257">
        <f>IFERROR(__xludf.DUMMYFUNCTION("""COMPUTED_VALUE"""),50950000)</f>
        <v>50950000</v>
      </c>
      <c r="K88" s="258">
        <f>IFERROR(__xludf.DUMMYFUNCTION("""COMPUTED_VALUE"""),46228)</f>
        <v>46228</v>
      </c>
      <c r="L88" s="259">
        <f>IFERROR(__xludf.DUMMYFUNCTION("""COMPUTED_VALUE"""),50950000)</f>
        <v>50950000</v>
      </c>
      <c r="M88" s="258">
        <f>IFERROR(__xludf.DUMMYFUNCTION("""COMPUTED_VALUE"""),46233)</f>
        <v>46233</v>
      </c>
      <c r="N88" s="260">
        <f>IFERROR(__xludf.DUMMYFUNCTION("""COMPUTED_VALUE"""),50950000)</f>
        <v>50950000</v>
      </c>
      <c r="O88" s="255"/>
      <c r="P88" s="255"/>
      <c r="Q88" s="255"/>
      <c r="R88" s="260">
        <f>IFERROR(__xludf.DUMMYFUNCTION("""COMPUTED_VALUE"""),0)</f>
        <v>0</v>
      </c>
      <c r="S88" s="261" t="str">
        <f>IFERROR(__xludf.DUMMYFUNCTION("""COMPUTED_VALUE"""),"Belum Invoice")</f>
        <v>Belum Invoice</v>
      </c>
      <c r="T88" s="261"/>
    </row>
    <row r="89" customHeight="1" spans="1:20">
      <c r="A89" s="255">
        <f>IFERROR(__xludf.DUMMYFUNCTION("""COMPUTED_VALUE"""),88)</f>
        <v>88</v>
      </c>
      <c r="B89" s="255" t="str">
        <f>IFERROR(__xludf.DUMMYFUNCTION("""COMPUTED_VALUE"""),"Survey Topography Jalur Flowline Lokasi GNK-PD78")</f>
        <v>Survey Topography Jalur Flowline Lokasi GNK-PD78</v>
      </c>
      <c r="C89" s="255" t="str">
        <f>IFERROR(__xludf.DUMMYFUNCTION("""COMPUTED_VALUE"""),"Gunung Kemala")</f>
        <v>Gunung Kemala</v>
      </c>
      <c r="D89" s="255" t="str">
        <f>IFERROR(__xludf.DUMMYFUNCTION("""COMPUTED_VALUE"""),"058/PHR72410/2026-S0")</f>
        <v>058/PHR72410/2026-S0</v>
      </c>
      <c r="E89" s="255">
        <f>IFERROR(__xludf.DUMMYFUNCTION("""COMPUTED_VALUE"""),73)</f>
        <v>73</v>
      </c>
      <c r="F89" s="255">
        <f>IFERROR(__xludf.DUMMYFUNCTION("""COMPUTED_VALUE"""),1.11)</f>
        <v>1.11</v>
      </c>
      <c r="G89" s="256">
        <f>IFERROR(__xludf.DUMMYFUNCTION("""COMPUTED_VALUE"""),46191)</f>
        <v>46191</v>
      </c>
      <c r="H89" s="256">
        <f>IFERROR(__xludf.DUMMYFUNCTION("""COMPUTED_VALUE"""),46263)</f>
        <v>46263</v>
      </c>
      <c r="I89" s="257">
        <f>IFERROR(__xludf.DUMMYFUNCTION("""COMPUTED_VALUE"""),14046000)</f>
        <v>14046000</v>
      </c>
      <c r="J89" s="257">
        <f>IFERROR(__xludf.DUMMYFUNCTION("""COMPUTED_VALUE"""),14046000)</f>
        <v>14046000</v>
      </c>
      <c r="K89" s="255"/>
      <c r="L89" s="255"/>
      <c r="M89" s="258">
        <f>IFERROR(__xludf.DUMMYFUNCTION("""COMPUTED_VALUE"""),46234)</f>
        <v>46234</v>
      </c>
      <c r="N89" s="260">
        <f>IFERROR(__xludf.DUMMYFUNCTION("""COMPUTED_VALUE"""),14046000)</f>
        <v>14046000</v>
      </c>
      <c r="O89" s="255"/>
      <c r="P89" s="255"/>
      <c r="Q89" s="255"/>
      <c r="R89" s="260">
        <f>IFERROR(__xludf.DUMMYFUNCTION("""COMPUTED_VALUE"""),0)</f>
        <v>0</v>
      </c>
      <c r="S89" s="261" t="str">
        <f>IFERROR(__xludf.DUMMYFUNCTION("""COMPUTED_VALUE"""),"Belum Invoice")</f>
        <v>Belum Invoice</v>
      </c>
      <c r="T89" s="261"/>
    </row>
    <row r="90" customHeight="1" spans="1:20">
      <c r="A90" s="255">
        <f>IFERROR(__xludf.DUMMYFUNCTION("""COMPUTED_VALUE"""),89)</f>
        <v>89</v>
      </c>
      <c r="B90" s="255" t="str">
        <f>IFERROR(__xludf.DUMMYFUNCTION("""COMPUTED_VALUE"""),"Survey Topography Jalur Flowline BKB-AR.01 dan BKB-AR.07")</f>
        <v>Survey Topography Jalur Flowline BKB-AR.01 dan BKB-AR.07</v>
      </c>
      <c r="C90" s="255" t="str">
        <f>IFERROR(__xludf.DUMMYFUNCTION("""COMPUTED_VALUE"""),"Benakat")</f>
        <v>Benakat</v>
      </c>
      <c r="D90" s="255" t="str">
        <f>IFERROR(__xludf.DUMMYFUNCTION("""COMPUTED_VALUE"""),"057/PHR72410/2026-S0")</f>
        <v>057/PHR72410/2026-S0</v>
      </c>
      <c r="E90" s="255">
        <f>IFERROR(__xludf.DUMMYFUNCTION("""COMPUTED_VALUE"""),42)</f>
        <v>42</v>
      </c>
      <c r="F90" s="255">
        <f>IFERROR(__xludf.DUMMYFUNCTION("""COMPUTED_VALUE"""),2.15)</f>
        <v>2.15</v>
      </c>
      <c r="G90" s="256">
        <f>IFERROR(__xludf.DUMMYFUNCTION("""COMPUTED_VALUE"""),46209)</f>
        <v>46209</v>
      </c>
      <c r="H90" s="256">
        <f>IFERROR(__xludf.DUMMYFUNCTION("""COMPUTED_VALUE"""),46250)</f>
        <v>46250</v>
      </c>
      <c r="I90" s="257">
        <f>IFERROR(__xludf.DUMMYFUNCTION("""COMPUTED_VALUE"""),18908000)</f>
        <v>18908000</v>
      </c>
      <c r="J90" s="257">
        <f>IFERROR(__xludf.DUMMYFUNCTION("""COMPUTED_VALUE"""),18908000)</f>
        <v>18908000</v>
      </c>
      <c r="K90" s="255"/>
      <c r="L90" s="255"/>
      <c r="M90" s="258">
        <f>IFERROR(__xludf.DUMMYFUNCTION("""COMPUTED_VALUE"""),46234)</f>
        <v>46234</v>
      </c>
      <c r="N90" s="260">
        <f>IFERROR(__xludf.DUMMYFUNCTION("""COMPUTED_VALUE"""),18908000)</f>
        <v>18908000</v>
      </c>
      <c r="O90" s="255"/>
      <c r="P90" s="255"/>
      <c r="Q90" s="255"/>
      <c r="R90" s="260">
        <f>IFERROR(__xludf.DUMMYFUNCTION("""COMPUTED_VALUE"""),0)</f>
        <v>0</v>
      </c>
      <c r="S90" s="261" t="str">
        <f>IFERROR(__xludf.DUMMYFUNCTION("""COMPUTED_VALUE"""),"Belum Invoice")</f>
        <v>Belum Invoice</v>
      </c>
      <c r="T90" s="261"/>
    </row>
    <row r="91" customHeight="1" spans="1:20">
      <c r="A91" s="255">
        <f>IFERROR(__xludf.DUMMYFUNCTION("""COMPUTED_VALUE"""),90)</f>
        <v>90</v>
      </c>
      <c r="B91" s="255" t="str">
        <f>IFERROR(__xludf.DUMMYFUNCTION("""COMPUTED_VALUE"""),"Survey Pemetaan, Desain Site Plan Lokasi ABB-A7")</f>
        <v>Survey Pemetaan, Desain Site Plan Lokasi ABB-A7</v>
      </c>
      <c r="C91" s="255" t="str">
        <f>IFERROR(__xludf.DUMMYFUNCTION("""COMPUTED_VALUE"""),"ABAB")</f>
        <v>ABAB</v>
      </c>
      <c r="D91" s="255" t="str">
        <f>IFERROR(__xludf.DUMMYFUNCTION("""COMPUTED_VALUE"""),"059/PHR72410/2026-S0")</f>
        <v>059/PHR72410/2026-S0</v>
      </c>
      <c r="E91" s="255">
        <f>IFERROR(__xludf.DUMMYFUNCTION("""COMPUTED_VALUE"""),42)</f>
        <v>42</v>
      </c>
      <c r="F91" s="255">
        <f>IFERROR(__xludf.DUMMYFUNCTION("""COMPUTED_VALUE"""),2.69)</f>
        <v>2.69</v>
      </c>
      <c r="G91" s="256">
        <f>IFERROR(__xludf.DUMMYFUNCTION("""COMPUTED_VALUE"""),46192)</f>
        <v>46192</v>
      </c>
      <c r="H91" s="256">
        <f>IFERROR(__xludf.DUMMYFUNCTION("""COMPUTED_VALUE"""),46233)</f>
        <v>46233</v>
      </c>
      <c r="I91" s="257">
        <f>IFERROR(__xludf.DUMMYFUNCTION("""COMPUTED_VALUE"""),54708000)</f>
        <v>54708000</v>
      </c>
      <c r="J91" s="255"/>
      <c r="K91" s="255"/>
      <c r="L91" s="255"/>
      <c r="M91" s="255"/>
      <c r="N91" s="255"/>
      <c r="O91" s="255"/>
      <c r="P91" s="255"/>
      <c r="Q91" s="255"/>
      <c r="R91" s="260">
        <f>IFERROR(__xludf.DUMMYFUNCTION("""COMPUTED_VALUE"""),0)</f>
        <v>0</v>
      </c>
      <c r="S91" s="261" t="str">
        <f>IFERROR(__xludf.DUMMYFUNCTION("""COMPUTED_VALUE"""),"Belum Invoice")</f>
        <v>Belum Invoice</v>
      </c>
      <c r="T91" s="261"/>
    </row>
    <row r="92" customHeight="1" spans="1:20">
      <c r="A92" s="255">
        <f>IFERROR(__xludf.DUMMYFUNCTION("""COMPUTED_VALUE"""),91)</f>
        <v>91</v>
      </c>
      <c r="B92" s="255" t="str">
        <f>IFERROR(__xludf.DUMMYFUNCTION("""COMPUTED_VALUE"""),"Survey Pemetaan, Desain Site Plan Lokasi IBT-3")</f>
        <v>Survey Pemetaan, Desain Site Plan Lokasi IBT-3</v>
      </c>
      <c r="C92" s="255" t="str">
        <f>IFERROR(__xludf.DUMMYFUNCTION("""COMPUTED_VALUE"""),"Ibul Tenggara")</f>
        <v>Ibul Tenggara</v>
      </c>
      <c r="D92" s="255" t="str">
        <f>IFERROR(__xludf.DUMMYFUNCTION("""COMPUTED_VALUE"""),"060/PHR72410/2026-S0")</f>
        <v>060/PHR72410/2026-S0</v>
      </c>
      <c r="E92" s="255">
        <f>IFERROR(__xludf.DUMMYFUNCTION("""COMPUTED_VALUE"""),42)</f>
        <v>42</v>
      </c>
      <c r="F92" s="255">
        <f>IFERROR(__xludf.DUMMYFUNCTION("""COMPUTED_VALUE"""),7.26)</f>
        <v>7.26</v>
      </c>
      <c r="G92" s="256">
        <f>IFERROR(__xludf.DUMMYFUNCTION("""COMPUTED_VALUE"""),46192)</f>
        <v>46192</v>
      </c>
      <c r="H92" s="256">
        <f>IFERROR(__xludf.DUMMYFUNCTION("""COMPUTED_VALUE"""),46233)</f>
        <v>46233</v>
      </c>
      <c r="I92" s="257">
        <f>IFERROR(__xludf.DUMMYFUNCTION("""COMPUTED_VALUE"""),74802000)</f>
        <v>74802000</v>
      </c>
      <c r="J92" s="255"/>
      <c r="K92" s="255"/>
      <c r="L92" s="255"/>
      <c r="M92" s="258">
        <f>IFERROR(__xludf.DUMMYFUNCTION("""COMPUTED_VALUE"""),46261)</f>
        <v>46261</v>
      </c>
      <c r="N92" s="259">
        <f>IFERROR(__xludf.DUMMYFUNCTION("""COMPUTED_VALUE"""),71006000)</f>
        <v>71006000</v>
      </c>
      <c r="O92" s="255"/>
      <c r="P92" s="255"/>
      <c r="Q92" s="255"/>
      <c r="R92" s="260">
        <f>IFERROR(__xludf.DUMMYFUNCTION("""COMPUTED_VALUE"""),0)</f>
        <v>0</v>
      </c>
      <c r="S92" s="261" t="str">
        <f>IFERROR(__xludf.DUMMYFUNCTION("""COMPUTED_VALUE"""),"Belum Invoice")</f>
        <v>Belum Invoice</v>
      </c>
      <c r="T92" s="261"/>
    </row>
    <row r="93" customHeight="1" spans="1:20">
      <c r="A93" s="255">
        <f>IFERROR(__xludf.DUMMYFUNCTION("""COMPUTED_VALUE"""),92)</f>
        <v>92</v>
      </c>
      <c r="B93" s="255" t="str">
        <f>IFERROR(__xludf.DUMMYFUNCTION("""COMPUTED_VALUE"""),"Survey Topography Fasilitas Produksi Perluasan SKG3 GNK")</f>
        <v>Survey Topography Fasilitas Produksi Perluasan SKG3 GNK</v>
      </c>
      <c r="C93" s="255" t="str">
        <f>IFERROR(__xludf.DUMMYFUNCTION("""COMPUTED_VALUE"""),"Gunung Kemala")</f>
        <v>Gunung Kemala</v>
      </c>
      <c r="D93" s="255" t="str">
        <f>IFERROR(__xludf.DUMMYFUNCTION("""COMPUTED_VALUE"""),"063/PHR72410/2026-S0")</f>
        <v>063/PHR72410/2026-S0</v>
      </c>
      <c r="E93" s="255">
        <f>IFERROR(__xludf.DUMMYFUNCTION("""COMPUTED_VALUE"""),46)</f>
        <v>46</v>
      </c>
      <c r="F93" s="255">
        <f>IFERROR(__xludf.DUMMYFUNCTION("""COMPUTED_VALUE"""),1.92)</f>
        <v>1.92</v>
      </c>
      <c r="G93" s="256">
        <f>IFERROR(__xludf.DUMMYFUNCTION("""COMPUTED_VALUE"""),46197)</f>
        <v>46197</v>
      </c>
      <c r="H93" s="256">
        <f>IFERROR(__xludf.DUMMYFUNCTION("""COMPUTED_VALUE"""),46242)</f>
        <v>46242</v>
      </c>
      <c r="I93" s="257">
        <f>IFERROR(__xludf.DUMMYFUNCTION("""COMPUTED_VALUE"""),39677000)</f>
        <v>39677000</v>
      </c>
      <c r="J93" s="255"/>
      <c r="K93" s="255"/>
      <c r="L93" s="255"/>
      <c r="M93" s="255"/>
      <c r="N93" s="255"/>
      <c r="O93" s="255"/>
      <c r="P93" s="255"/>
      <c r="Q93" s="255"/>
      <c r="R93" s="260">
        <f>IFERROR(__xludf.DUMMYFUNCTION("""COMPUTED_VALUE"""),0)</f>
        <v>0</v>
      </c>
      <c r="S93" s="261" t="str">
        <f>IFERROR(__xludf.DUMMYFUNCTION("""COMPUTED_VALUE"""),"Belum Invoice")</f>
        <v>Belum Invoice</v>
      </c>
      <c r="T93" s="261"/>
    </row>
    <row r="94" customHeight="1" spans="1:20">
      <c r="A94" s="255">
        <f>IFERROR(__xludf.DUMMYFUNCTION("""COMPUTED_VALUE"""),93)</f>
        <v>93</v>
      </c>
      <c r="B94" s="255" t="str">
        <f>IFERROR(__xludf.DUMMYFUNCTION("""COMPUTED_VALUE"""),"Survey Topografi Rencana Stasiun Pengumpul Benuang di Area Blok E")</f>
        <v>Survey Topografi Rencana Stasiun Pengumpul Benuang di Area Blok E</v>
      </c>
      <c r="C94" s="255" t="str">
        <f>IFERROR(__xludf.DUMMYFUNCTION("""COMPUTED_VALUE"""),"Benuang")</f>
        <v>Benuang</v>
      </c>
      <c r="D94" s="255" t="str">
        <f>IFERROR(__xludf.DUMMYFUNCTION("""COMPUTED_VALUE"""),"064/PHR72410/2026-S0")</f>
        <v>064/PHR72410/2026-S0</v>
      </c>
      <c r="E94" s="255">
        <f>IFERROR(__xludf.DUMMYFUNCTION("""COMPUTED_VALUE"""),60)</f>
        <v>60</v>
      </c>
      <c r="F94" s="255">
        <f>IFERROR(__xludf.DUMMYFUNCTION("""COMPUTED_VALUE"""),30.94)</f>
        <v>30.94</v>
      </c>
      <c r="G94" s="256">
        <f>IFERROR(__xludf.DUMMYFUNCTION("""COMPUTED_VALUE"""),46223)</f>
        <v>46223</v>
      </c>
      <c r="H94" s="256">
        <f>IFERROR(__xludf.DUMMYFUNCTION("""COMPUTED_VALUE"""),46282)</f>
        <v>46282</v>
      </c>
      <c r="I94" s="257">
        <f>IFERROR(__xludf.DUMMYFUNCTION("""COMPUTED_VALUE"""),176352000)</f>
        <v>176352000</v>
      </c>
      <c r="J94" s="255"/>
      <c r="K94" s="255"/>
      <c r="L94" s="255"/>
      <c r="M94" s="255"/>
      <c r="N94" s="255"/>
      <c r="O94" s="255"/>
      <c r="P94" s="255"/>
      <c r="Q94" s="255"/>
      <c r="R94" s="260">
        <f>IFERROR(__xludf.DUMMYFUNCTION("""COMPUTED_VALUE"""),0)</f>
        <v>0</v>
      </c>
      <c r="S94" s="261" t="str">
        <f>IFERROR(__xludf.DUMMYFUNCTION("""COMPUTED_VALUE"""),"Belum Invoice")</f>
        <v>Belum Invoice</v>
      </c>
      <c r="T94" s="261"/>
    </row>
    <row r="95" customHeight="1" spans="1:20">
      <c r="A95" s="255">
        <f>IFERROR(__xludf.DUMMYFUNCTION("""COMPUTED_VALUE"""),94)</f>
        <v>94</v>
      </c>
      <c r="B95" s="255" t="str">
        <f>IFERROR(__xludf.DUMMYFUNCTION("""COMPUTED_VALUE"""),"Survey Pemetaan, Desain Site Plan Lokasi BNG-A3")</f>
        <v>Survey Pemetaan, Desain Site Plan Lokasi BNG-A3</v>
      </c>
      <c r="C95" s="255" t="str">
        <f>IFERROR(__xludf.DUMMYFUNCTION("""COMPUTED_VALUE"""),"Benuang")</f>
        <v>Benuang</v>
      </c>
      <c r="D95" s="255" t="str">
        <f>IFERROR(__xludf.DUMMYFUNCTION("""COMPUTED_VALUE"""),"067/PHR72410/2026-S0")</f>
        <v>067/PHR72410/2026-S0</v>
      </c>
      <c r="E95" s="255">
        <f>IFERROR(__xludf.DUMMYFUNCTION("""COMPUTED_VALUE"""),42)</f>
        <v>42</v>
      </c>
      <c r="F95" s="255">
        <f>IFERROR(__xludf.DUMMYFUNCTION("""COMPUTED_VALUE"""),3.33)</f>
        <v>3.33</v>
      </c>
      <c r="G95" s="256">
        <f>IFERROR(__xludf.DUMMYFUNCTION("""COMPUTED_VALUE"""),46213)</f>
        <v>46213</v>
      </c>
      <c r="H95" s="256">
        <f>IFERROR(__xludf.DUMMYFUNCTION("""COMPUTED_VALUE"""),46254)</f>
        <v>46254</v>
      </c>
      <c r="I95" s="257">
        <f>IFERROR(__xludf.DUMMYFUNCTION("""COMPUTED_VALUE"""),59979000)</f>
        <v>59979000</v>
      </c>
      <c r="J95" s="255"/>
      <c r="K95" s="255"/>
      <c r="L95" s="255"/>
      <c r="M95" s="258">
        <f>IFERROR(__xludf.DUMMYFUNCTION("""COMPUTED_VALUE"""),46261)</f>
        <v>46261</v>
      </c>
      <c r="N95" s="259">
        <f>IFERROR(__xludf.DUMMYFUNCTION("""COMPUTED_VALUE"""),38590000)</f>
        <v>38590000</v>
      </c>
      <c r="O95" s="255"/>
      <c r="P95" s="255"/>
      <c r="Q95" s="255"/>
      <c r="R95" s="260">
        <f>IFERROR(__xludf.DUMMYFUNCTION("""COMPUTED_VALUE"""),0)</f>
        <v>0</v>
      </c>
      <c r="S95" s="261" t="str">
        <f>IFERROR(__xludf.DUMMYFUNCTION("""COMPUTED_VALUE"""),"Belum Invoice")</f>
        <v>Belum Invoice</v>
      </c>
      <c r="T95" s="261"/>
    </row>
    <row r="96" customHeight="1" spans="1:20">
      <c r="A96" s="255">
        <f>IFERROR(__xludf.DUMMYFUNCTION("""COMPUTED_VALUE"""),95)</f>
        <v>95</v>
      </c>
      <c r="B96" s="255" t="str">
        <f>IFERROR(__xludf.DUMMYFUNCTION("""COMPUTED_VALUE"""),"Survey Pemetaan, Desain Site Plan Lokasi BNG-A20")</f>
        <v>Survey Pemetaan, Desain Site Plan Lokasi BNG-A20</v>
      </c>
      <c r="C96" s="255" t="str">
        <f>IFERROR(__xludf.DUMMYFUNCTION("""COMPUTED_VALUE"""),"Benuang")</f>
        <v>Benuang</v>
      </c>
      <c r="D96" s="255" t="str">
        <f>IFERROR(__xludf.DUMMYFUNCTION("""COMPUTED_VALUE"""),"069/PHR72410/2026-S0")</f>
        <v>069/PHR72410/2026-S0</v>
      </c>
      <c r="E96" s="255">
        <f>IFERROR(__xludf.DUMMYFUNCTION("""COMPUTED_VALUE"""),42)</f>
        <v>42</v>
      </c>
      <c r="F96" s="255">
        <f>IFERROR(__xludf.DUMMYFUNCTION("""COMPUTED_VALUE"""),8.38)</f>
        <v>8.38</v>
      </c>
      <c r="G96" s="256">
        <f>IFERROR(__xludf.DUMMYFUNCTION("""COMPUTED_VALUE"""),46213)</f>
        <v>46213</v>
      </c>
      <c r="H96" s="256">
        <f>IFERROR(__xludf.DUMMYFUNCTION("""COMPUTED_VALUE"""),46254)</f>
        <v>46254</v>
      </c>
      <c r="I96" s="257">
        <f>IFERROR(__xludf.DUMMYFUNCTION("""COMPUTED_VALUE"""),94151000)</f>
        <v>94151000</v>
      </c>
      <c r="J96" s="255"/>
      <c r="K96" s="255"/>
      <c r="L96" s="255"/>
      <c r="M96" s="255"/>
      <c r="N96" s="255"/>
      <c r="O96" s="255"/>
      <c r="P96" s="255"/>
      <c r="Q96" s="255"/>
      <c r="R96" s="260">
        <f>IFERROR(__xludf.DUMMYFUNCTION("""COMPUTED_VALUE"""),0)</f>
        <v>0</v>
      </c>
      <c r="S96" s="261" t="str">
        <f>IFERROR(__xludf.DUMMYFUNCTION("""COMPUTED_VALUE"""),"Belum Invoice")</f>
        <v>Belum Invoice</v>
      </c>
      <c r="T96" s="261"/>
    </row>
    <row r="97" customHeight="1" spans="1:20">
      <c r="A97" s="255">
        <f>IFERROR(__xludf.DUMMYFUNCTION("""COMPUTED_VALUE"""),96)</f>
        <v>96</v>
      </c>
      <c r="B97" s="255" t="str">
        <f>IFERROR(__xludf.DUMMYFUNCTION("""COMPUTED_VALUE"""),"Survey Pemetaan, Desain Site Plan Lokasi MSI-S1")</f>
        <v>Survey Pemetaan, Desain Site Plan Lokasi MSI-S1</v>
      </c>
      <c r="C97" s="255" t="str">
        <f>IFERROR(__xludf.DUMMYFUNCTION("""COMPUTED_VALUE"""),"Musi Block")</f>
        <v>Musi Block</v>
      </c>
      <c r="D97" s="255" t="str">
        <f>IFERROR(__xludf.DUMMYFUNCTION("""COMPUTED_VALUE"""),"071/PHR72410/2026-S0")</f>
        <v>071/PHR72410/2026-S0</v>
      </c>
      <c r="E97" s="255">
        <f>IFERROR(__xludf.DUMMYFUNCTION("""COMPUTED_VALUE"""),42)</f>
        <v>42</v>
      </c>
      <c r="F97" s="255">
        <f>IFERROR(__xludf.DUMMYFUNCTION("""COMPUTED_VALUE"""),6.89)</f>
        <v>6.89</v>
      </c>
      <c r="G97" s="256">
        <f>IFERROR(__xludf.DUMMYFUNCTION("""COMPUTED_VALUE"""),46220)</f>
        <v>46220</v>
      </c>
      <c r="H97" s="256">
        <f>IFERROR(__xludf.DUMMYFUNCTION("""COMPUTED_VALUE"""),46261)</f>
        <v>46261</v>
      </c>
      <c r="I97" s="257">
        <f>IFERROR(__xludf.DUMMYFUNCTION("""COMPUTED_VALUE"""),79626000)</f>
        <v>79626000</v>
      </c>
      <c r="J97" s="255"/>
      <c r="K97" s="255"/>
      <c r="L97" s="255"/>
      <c r="M97" s="255"/>
      <c r="N97" s="255"/>
      <c r="O97" s="255"/>
      <c r="P97" s="255"/>
      <c r="Q97" s="255"/>
      <c r="R97" s="260">
        <f>IFERROR(__xludf.DUMMYFUNCTION("""COMPUTED_VALUE"""),0)</f>
        <v>0</v>
      </c>
      <c r="S97" s="261" t="str">
        <f>IFERROR(__xludf.DUMMYFUNCTION("""COMPUTED_VALUE"""),"Belum Invoice")</f>
        <v>Belum Invoice</v>
      </c>
      <c r="T97" s="261"/>
    </row>
    <row r="98" customHeight="1" spans="1:20">
      <c r="A98" s="255">
        <f>IFERROR(__xludf.DUMMYFUNCTION("""COMPUTED_VALUE"""),97)</f>
        <v>97</v>
      </c>
      <c r="B98" s="255" t="str">
        <f>IFERROR(__xludf.DUMMYFUNCTION("""COMPUTED_VALUE"""),"Survey Pemetaan, Desain Site Plan Lokasi BEL-K13")</f>
        <v>Survey Pemetaan, Desain Site Plan Lokasi BEL-K13</v>
      </c>
      <c r="C98" s="255" t="str">
        <f>IFERROR(__xludf.DUMMYFUNCTION("""COMPUTED_VALUE"""),"Belimbing")</f>
        <v>Belimbing</v>
      </c>
      <c r="D98" s="255" t="str">
        <f>IFERROR(__xludf.DUMMYFUNCTION("""COMPUTED_VALUE"""),"074/PHR72410/2026-S0")</f>
        <v>074/PHR72410/2026-S0</v>
      </c>
      <c r="E98" s="255">
        <f>IFERROR(__xludf.DUMMYFUNCTION("""COMPUTED_VALUE"""),42)</f>
        <v>42</v>
      </c>
      <c r="F98" s="255">
        <f>IFERROR(__xludf.DUMMYFUNCTION("""COMPUTED_VALUE"""),8.5)</f>
        <v>8.5</v>
      </c>
      <c r="G98" s="256">
        <f>IFERROR(__xludf.DUMMYFUNCTION("""COMPUTED_VALUE"""),46220)</f>
        <v>46220</v>
      </c>
      <c r="H98" s="256">
        <f>IFERROR(__xludf.DUMMYFUNCTION("""COMPUTED_VALUE"""),46261)</f>
        <v>46261</v>
      </c>
      <c r="I98" s="257">
        <f>IFERROR(__xludf.DUMMYFUNCTION("""COMPUTED_VALUE"""),79271000)</f>
        <v>79271000</v>
      </c>
      <c r="J98" s="255"/>
      <c r="K98" s="255"/>
      <c r="L98" s="255"/>
      <c r="M98" s="255"/>
      <c r="N98" s="255"/>
      <c r="O98" s="255"/>
      <c r="P98" s="255"/>
      <c r="Q98" s="255"/>
      <c r="R98" s="260">
        <f>IFERROR(__xludf.DUMMYFUNCTION("""COMPUTED_VALUE"""),0)</f>
        <v>0</v>
      </c>
      <c r="S98" s="261" t="str">
        <f>IFERROR(__xludf.DUMMYFUNCTION("""COMPUTED_VALUE"""),"Belum Invoice")</f>
        <v>Belum Invoice</v>
      </c>
      <c r="T98" s="261"/>
    </row>
    <row r="99" customHeight="1" spans="1:20">
      <c r="A99" s="255">
        <f>IFERROR(__xludf.DUMMYFUNCTION("""COMPUTED_VALUE"""),98)</f>
        <v>98</v>
      </c>
      <c r="B99" s="255" t="str">
        <f>IFERROR(__xludf.DUMMYFUNCTION("""COMPUTED_VALUE"""),"Survey Pemetaan, Desain Site Plan Lokasi MSI-S3")</f>
        <v>Survey Pemetaan, Desain Site Plan Lokasi MSI-S3</v>
      </c>
      <c r="C99" s="255" t="str">
        <f>IFERROR(__xludf.DUMMYFUNCTION("""COMPUTED_VALUE"""),"Musi Block")</f>
        <v>Musi Block</v>
      </c>
      <c r="D99" s="255" t="str">
        <f>IFERROR(__xludf.DUMMYFUNCTION("""COMPUTED_VALUE"""),"073/PHR72410/2026-S0")</f>
        <v>073/PHR72410/2026-S0</v>
      </c>
      <c r="E99" s="255">
        <f>IFERROR(__xludf.DUMMYFUNCTION("""COMPUTED_VALUE"""),42)</f>
        <v>42</v>
      </c>
      <c r="F99" s="255">
        <f>IFERROR(__xludf.DUMMYFUNCTION("""COMPUTED_VALUE"""),7.93)</f>
        <v>7.93</v>
      </c>
      <c r="G99" s="256">
        <f>IFERROR(__xludf.DUMMYFUNCTION("""COMPUTED_VALUE"""),46220)</f>
        <v>46220</v>
      </c>
      <c r="H99" s="256">
        <f>IFERROR(__xludf.DUMMYFUNCTION("""COMPUTED_VALUE"""),46261)</f>
        <v>46261</v>
      </c>
      <c r="I99" s="257">
        <f>IFERROR(__xludf.DUMMYFUNCTION("""COMPUTED_VALUE"""),87033000)</f>
        <v>87033000</v>
      </c>
      <c r="J99" s="255"/>
      <c r="K99" s="255"/>
      <c r="L99" s="255"/>
      <c r="M99" s="255"/>
      <c r="N99" s="255"/>
      <c r="O99" s="255"/>
      <c r="P99" s="255"/>
      <c r="Q99" s="255"/>
      <c r="R99" s="260">
        <f>IFERROR(__xludf.DUMMYFUNCTION("""COMPUTED_VALUE"""),0)</f>
        <v>0</v>
      </c>
      <c r="S99" s="261" t="str">
        <f>IFERROR(__xludf.DUMMYFUNCTION("""COMPUTED_VALUE"""),"Belum Invoice")</f>
        <v>Belum Invoice</v>
      </c>
      <c r="T99" s="261"/>
    </row>
    <row r="100" customHeight="1" spans="1:20">
      <c r="A100" s="255">
        <f>IFERROR(__xludf.DUMMYFUNCTION("""COMPUTED_VALUE"""),99)</f>
        <v>99</v>
      </c>
      <c r="B100" s="255" t="str">
        <f>IFERROR(__xludf.DUMMYFUNCTION("""COMPUTED_VALUE"""),"Survey Pemetaan, Desain Site Plan Lokasi SKG-INF")</f>
        <v>Survey Pemetaan, Desain Site Plan Lokasi SKG-INF</v>
      </c>
      <c r="C100" s="255" t="str">
        <f>IFERROR(__xludf.DUMMYFUNCTION("""COMPUTED_VALUE"""),"Lahat")</f>
        <v>Lahat</v>
      </c>
      <c r="D100" s="255" t="str">
        <f>IFERROR(__xludf.DUMMYFUNCTION("""COMPUTED_VALUE"""),"072/PHR72410/2026-S0")</f>
        <v>072/PHR72410/2026-S0</v>
      </c>
      <c r="E100" s="255">
        <f>IFERROR(__xludf.DUMMYFUNCTION("""COMPUTED_VALUE"""),42)</f>
        <v>42</v>
      </c>
      <c r="F100" s="255">
        <f>IFERROR(__xludf.DUMMYFUNCTION("""COMPUTED_VALUE"""),7.09)</f>
        <v>7.09</v>
      </c>
      <c r="G100" s="256">
        <f>IFERROR(__xludf.DUMMYFUNCTION("""COMPUTED_VALUE"""),46220)</f>
        <v>46220</v>
      </c>
      <c r="H100" s="256">
        <f>IFERROR(__xludf.DUMMYFUNCTION("""COMPUTED_VALUE"""),46261)</f>
        <v>46261</v>
      </c>
      <c r="I100" s="257">
        <f>IFERROR(__xludf.DUMMYFUNCTION("""COMPUTED_VALUE"""),80836000)</f>
        <v>80836000</v>
      </c>
      <c r="J100" s="255"/>
      <c r="K100" s="255"/>
      <c r="L100" s="255"/>
      <c r="M100" s="255"/>
      <c r="N100" s="255"/>
      <c r="O100" s="255"/>
      <c r="P100" s="255"/>
      <c r="Q100" s="255"/>
      <c r="R100" s="260">
        <f>IFERROR(__xludf.DUMMYFUNCTION("""COMPUTED_VALUE"""),0)</f>
        <v>0</v>
      </c>
      <c r="S100" s="261" t="str">
        <f>IFERROR(__xludf.DUMMYFUNCTION("""COMPUTED_VALUE"""),"Belum Invoice")</f>
        <v>Belum Invoice</v>
      </c>
      <c r="T100" s="261"/>
    </row>
    <row r="101" customHeight="1" spans="1:20">
      <c r="A101" s="255">
        <f>IFERROR(__xludf.DUMMYFUNCTION("""COMPUTED_VALUE"""),100)</f>
        <v>100</v>
      </c>
      <c r="B101" s="255" t="str">
        <f>IFERROR(__xludf.DUMMYFUNCTION("""COMPUTED_VALUE"""),"Survey Pemetaan, Desain Site Plan Lokasi GNK-PRDM1")</f>
        <v>Survey Pemetaan, Desain Site Plan Lokasi GNK-PRDM1</v>
      </c>
      <c r="C101" s="255" t="str">
        <f>IFERROR(__xludf.DUMMYFUNCTION("""COMPUTED_VALUE"""),"Gunung Kemala")</f>
        <v>Gunung Kemala</v>
      </c>
      <c r="D101" s="255" t="str">
        <f>IFERROR(__xludf.DUMMYFUNCTION("""COMPUTED_VALUE"""),"066/PHR72410/2026-S0")</f>
        <v>066/PHR72410/2026-S0</v>
      </c>
      <c r="E101" s="255">
        <f>IFERROR(__xludf.DUMMYFUNCTION("""COMPUTED_VALUE"""),42)</f>
        <v>42</v>
      </c>
      <c r="F101" s="255">
        <f>IFERROR(__xludf.DUMMYFUNCTION("""COMPUTED_VALUE"""),7.21)</f>
        <v>7.21</v>
      </c>
      <c r="G101" s="256">
        <f>IFERROR(__xludf.DUMMYFUNCTION("""COMPUTED_VALUE"""),46213)</f>
        <v>46213</v>
      </c>
      <c r="H101" s="256">
        <f>IFERROR(__xludf.DUMMYFUNCTION("""COMPUTED_VALUE"""),46254)</f>
        <v>46254</v>
      </c>
      <c r="I101" s="257">
        <f>IFERROR(__xludf.DUMMYFUNCTION("""COMPUTED_VALUE"""),77567000)</f>
        <v>77567000</v>
      </c>
      <c r="J101" s="255"/>
      <c r="K101" s="255"/>
      <c r="L101" s="255"/>
      <c r="M101" s="255"/>
      <c r="N101" s="255"/>
      <c r="O101" s="255"/>
      <c r="P101" s="255"/>
      <c r="Q101" s="255"/>
      <c r="R101" s="260">
        <f>IFERROR(__xludf.DUMMYFUNCTION("""COMPUTED_VALUE"""),0)</f>
        <v>0</v>
      </c>
      <c r="S101" s="261" t="str">
        <f>IFERROR(__xludf.DUMMYFUNCTION("""COMPUTED_VALUE"""),"Belum Invoice")</f>
        <v>Belum Invoice</v>
      </c>
      <c r="T101" s="261"/>
    </row>
    <row r="102" customHeight="1" spans="1:20">
      <c r="A102" s="255">
        <f>IFERROR(__xludf.DUMMYFUNCTION("""COMPUTED_VALUE"""),101)</f>
        <v>101</v>
      </c>
      <c r="B102" s="255" t="str">
        <f>IFERROR(__xludf.DUMMYFUNCTION("""COMPUTED_VALUE"""),"Survey Pemetaan, Desain Site Plan Lokasi GNK-PRDM2")</f>
        <v>Survey Pemetaan, Desain Site Plan Lokasi GNK-PRDM2</v>
      </c>
      <c r="C102" s="255" t="str">
        <f>IFERROR(__xludf.DUMMYFUNCTION("""COMPUTED_VALUE"""),"Gunung Kemala")</f>
        <v>Gunung Kemala</v>
      </c>
      <c r="D102" s="255" t="str">
        <f>IFERROR(__xludf.DUMMYFUNCTION("""COMPUTED_VALUE"""),"065/PHR72410/2026-S0")</f>
        <v>065/PHR72410/2026-S0</v>
      </c>
      <c r="E102" s="255">
        <f>IFERROR(__xludf.DUMMYFUNCTION("""COMPUTED_VALUE"""),42)</f>
        <v>42</v>
      </c>
      <c r="F102" s="255">
        <f>IFERROR(__xludf.DUMMYFUNCTION("""COMPUTED_VALUE"""),10.54)</f>
        <v>10.54</v>
      </c>
      <c r="G102" s="256">
        <f>IFERROR(__xludf.DUMMYFUNCTION("""COMPUTED_VALUE"""),46213)</f>
        <v>46213</v>
      </c>
      <c r="H102" s="256">
        <f>IFERROR(__xludf.DUMMYFUNCTION("""COMPUTED_VALUE"""),46254)</f>
        <v>46254</v>
      </c>
      <c r="I102" s="257">
        <f>IFERROR(__xludf.DUMMYFUNCTION("""COMPUTED_VALUE"""),102745000)</f>
        <v>102745000</v>
      </c>
      <c r="J102" s="255"/>
      <c r="K102" s="255"/>
      <c r="L102" s="255"/>
      <c r="M102" s="255"/>
      <c r="N102" s="255"/>
      <c r="O102" s="255"/>
      <c r="P102" s="255"/>
      <c r="Q102" s="255"/>
      <c r="R102" s="260">
        <f>IFERROR(__xludf.DUMMYFUNCTION("""COMPUTED_VALUE"""),0)</f>
        <v>0</v>
      </c>
      <c r="S102" s="261" t="str">
        <f>IFERROR(__xludf.DUMMYFUNCTION("""COMPUTED_VALUE"""),"Belum Invoice")</f>
        <v>Belum Invoice</v>
      </c>
      <c r="T102" s="261"/>
    </row>
    <row r="103" customHeight="1" spans="1:20">
      <c r="A103" s="255">
        <f>IFERROR(__xludf.DUMMYFUNCTION("""COMPUTED_VALUE"""),102)</f>
        <v>102</v>
      </c>
      <c r="B103" s="255" t="str">
        <f>IFERROR(__xludf.DUMMYFUNCTION("""COMPUTED_VALUE"""),"Survey Pemetaan, Desain Site Plan Lokasi TDN-IF1")</f>
        <v>Survey Pemetaan, Desain Site Plan Lokasi TDN-IF1</v>
      </c>
      <c r="C103" s="255" t="str">
        <f>IFERROR(__xludf.DUMMYFUNCTION("""COMPUTED_VALUE"""),"Tundan")</f>
        <v>Tundan</v>
      </c>
      <c r="D103" s="255" t="str">
        <f>IFERROR(__xludf.DUMMYFUNCTION("""COMPUTED_VALUE"""),"076/PHR72410/2026-S0")</f>
        <v>076/PHR72410/2026-S0</v>
      </c>
      <c r="E103" s="255">
        <f>IFERROR(__xludf.DUMMYFUNCTION("""COMPUTED_VALUE"""),42)</f>
        <v>42</v>
      </c>
      <c r="F103" s="255">
        <f>IFERROR(__xludf.DUMMYFUNCTION("""COMPUTED_VALUE"""),6.69)</f>
        <v>6.69</v>
      </c>
      <c r="G103" s="256">
        <f>IFERROR(__xludf.DUMMYFUNCTION("""COMPUTED_VALUE"""),46227)</f>
        <v>46227</v>
      </c>
      <c r="H103" s="256">
        <f>IFERROR(__xludf.DUMMYFUNCTION("""COMPUTED_VALUE"""),46268)</f>
        <v>46268</v>
      </c>
      <c r="I103" s="257">
        <f>IFERROR(__xludf.DUMMYFUNCTION("""COMPUTED_VALUE"""),80074000)</f>
        <v>80074000</v>
      </c>
      <c r="J103" s="255"/>
      <c r="K103" s="255"/>
      <c r="L103" s="255"/>
      <c r="M103" s="255"/>
      <c r="N103" s="255"/>
      <c r="O103" s="255"/>
      <c r="P103" s="255"/>
      <c r="Q103" s="255"/>
      <c r="R103" s="260">
        <f>IFERROR(__xludf.DUMMYFUNCTION("""COMPUTED_VALUE"""),0)</f>
        <v>0</v>
      </c>
      <c r="S103" s="261" t="str">
        <f>IFERROR(__xludf.DUMMYFUNCTION("""COMPUTED_VALUE"""),"Belum Invoice")</f>
        <v>Belum Invoice</v>
      </c>
      <c r="T103" s="261"/>
    </row>
    <row r="104" customHeight="1" spans="1:20">
      <c r="A104" s="255">
        <f>IFERROR(__xludf.DUMMYFUNCTION("""COMPUTED_VALUE"""),103)</f>
        <v>103</v>
      </c>
      <c r="B104" s="255" t="str">
        <f>IFERROR(__xludf.DUMMYFUNCTION("""COMPUTED_VALUE"""),"Topografi Trunkline GNK Barat")</f>
        <v>Topografi Trunkline GNK Barat</v>
      </c>
      <c r="C104" s="255" t="str">
        <f>IFERROR(__xludf.DUMMYFUNCTION("""COMPUTED_VALUE"""),"Gunung Kemala")</f>
        <v>Gunung Kemala</v>
      </c>
      <c r="D104" s="255" t="str">
        <f>IFERROR(__xludf.DUMMYFUNCTION("""COMPUTED_VALUE"""),"078/PHR72410/2026-S0")</f>
        <v>078/PHR72410/2026-S0</v>
      </c>
      <c r="E104" s="255">
        <f>IFERROR(__xludf.DUMMYFUNCTION("""COMPUTED_VALUE"""),42)</f>
        <v>42</v>
      </c>
      <c r="F104" s="255">
        <f>IFERROR(__xludf.DUMMYFUNCTION("""COMPUTED_VALUE"""),5.78)</f>
        <v>5.78</v>
      </c>
      <c r="G104" s="256">
        <f>IFERROR(__xludf.DUMMYFUNCTION("""COMPUTED_VALUE"""),46225)</f>
        <v>46225</v>
      </c>
      <c r="H104" s="256">
        <f>IFERROR(__xludf.DUMMYFUNCTION("""COMPUTED_VALUE"""),46266)</f>
        <v>46266</v>
      </c>
      <c r="I104" s="257">
        <f>IFERROR(__xludf.DUMMYFUNCTION("""COMPUTED_VALUE"""),113057000)</f>
        <v>113057000</v>
      </c>
      <c r="J104" s="255"/>
      <c r="K104" s="255"/>
      <c r="L104" s="255"/>
      <c r="M104" s="255"/>
      <c r="N104" s="255"/>
      <c r="O104" s="255"/>
      <c r="P104" s="255"/>
      <c r="Q104" s="255"/>
      <c r="R104" s="260">
        <f>IFERROR(__xludf.DUMMYFUNCTION("""COMPUTED_VALUE"""),0)</f>
        <v>0</v>
      </c>
      <c r="S104" s="261" t="str">
        <f>IFERROR(__xludf.DUMMYFUNCTION("""COMPUTED_VALUE"""),"Belum Invoice")</f>
        <v>Belum Invoice</v>
      </c>
      <c r="T104" s="261"/>
    </row>
    <row r="105" customHeight="1" spans="1:20">
      <c r="A105" s="255">
        <f>IFERROR(__xludf.DUMMYFUNCTION("""COMPUTED_VALUE"""),104)</f>
        <v>104</v>
      </c>
      <c r="B105" s="255" t="str">
        <f>IFERROR(__xludf.DUMMYFUNCTION("""COMPUTED_VALUE"""),"Survey Pemetaan, Desain Siteplan Lokasi MBU-SO1")</f>
        <v>Survey Pemetaan, Desain Siteplan Lokasi MBU-SO1</v>
      </c>
      <c r="C105" s="255" t="str">
        <f>IFERROR(__xludf.DUMMYFUNCTION("""COMPUTED_VALUE"""),"Musi Block")</f>
        <v>Musi Block</v>
      </c>
      <c r="D105" s="255" t="str">
        <f>IFERROR(__xludf.DUMMYFUNCTION("""COMPUTED_VALUE"""),"077/PHR72410/2026-S0")</f>
        <v>077/PHR72410/2026-S0</v>
      </c>
      <c r="E105" s="255">
        <f>IFERROR(__xludf.DUMMYFUNCTION("""COMPUTED_VALUE"""),42)</f>
        <v>42</v>
      </c>
      <c r="F105" s="255">
        <f>IFERROR(__xludf.DUMMYFUNCTION("""COMPUTED_VALUE"""),8.08)</f>
        <v>8.08</v>
      </c>
      <c r="G105" s="256">
        <f>IFERROR(__xludf.DUMMYFUNCTION("""COMPUTED_VALUE"""),46227)</f>
        <v>46227</v>
      </c>
      <c r="H105" s="256">
        <f>IFERROR(__xludf.DUMMYFUNCTION("""COMPUTED_VALUE"""),46268)</f>
        <v>46268</v>
      </c>
      <c r="I105" s="257" t="str">
        <f>IFERROR(__xludf.DUMMYFUNCTION("""COMPUTED_VALUE"""),"Void")</f>
        <v>Void</v>
      </c>
      <c r="J105" s="255"/>
      <c r="K105" s="255"/>
      <c r="L105" s="255"/>
      <c r="M105" s="255"/>
      <c r="N105" s="255"/>
      <c r="O105" s="255"/>
      <c r="P105" s="255"/>
      <c r="Q105" s="255"/>
      <c r="R105" s="260">
        <f>IFERROR(__xludf.DUMMYFUNCTION("""COMPUTED_VALUE"""),0)</f>
        <v>0</v>
      </c>
      <c r="S105" s="261" t="str">
        <f>IFERROR(__xludf.DUMMYFUNCTION("""COMPUTED_VALUE"""),"Belum Invoice")</f>
        <v>Belum Invoice</v>
      </c>
      <c r="T105" s="261"/>
    </row>
    <row r="106" customHeight="1" spans="1:20">
      <c r="A106" s="255">
        <f>IFERROR(__xludf.DUMMYFUNCTION("""COMPUTED_VALUE"""),105)</f>
        <v>105</v>
      </c>
      <c r="B106" s="255" t="str">
        <f>IFERROR(__xludf.DUMMYFUNCTION("""COMPUTED_VALUE"""),"Survey Pemetaan, Desain Siteplan Lokasi BRG-C1")</f>
        <v>Survey Pemetaan, Desain Siteplan Lokasi BRG-C1</v>
      </c>
      <c r="C106" s="255" t="str">
        <f>IFERROR(__xludf.DUMMYFUNCTION("""COMPUTED_VALUE"""),"Beringin")</f>
        <v>Beringin</v>
      </c>
      <c r="D106" s="255" t="str">
        <f>IFERROR(__xludf.DUMMYFUNCTION("""COMPUTED_VALUE"""),"081/PHR72410/2026-S0")</f>
        <v>081/PHR72410/2026-S0</v>
      </c>
      <c r="E106" s="255">
        <f>IFERROR(__xludf.DUMMYFUNCTION("""COMPUTED_VALUE"""),42)</f>
        <v>42</v>
      </c>
      <c r="F106" s="255">
        <f>IFERROR(__xludf.DUMMYFUNCTION("""COMPUTED_VALUE"""),6.07)</f>
        <v>6.07</v>
      </c>
      <c r="G106" s="256">
        <f>IFERROR(__xludf.DUMMYFUNCTION("""COMPUTED_VALUE"""),46227)</f>
        <v>46227</v>
      </c>
      <c r="H106" s="256">
        <f>IFERROR(__xludf.DUMMYFUNCTION("""COMPUTED_VALUE"""),46268)</f>
        <v>46268</v>
      </c>
      <c r="I106" s="257">
        <f>IFERROR(__xludf.DUMMYFUNCTION("""COMPUTED_VALUE"""),68310000)</f>
        <v>68310000</v>
      </c>
      <c r="J106" s="255"/>
      <c r="K106" s="255"/>
      <c r="L106" s="255"/>
      <c r="M106" s="255"/>
      <c r="N106" s="255"/>
      <c r="O106" s="255"/>
      <c r="P106" s="255"/>
      <c r="Q106" s="255"/>
      <c r="R106" s="260">
        <f>IFERROR(__xludf.DUMMYFUNCTION("""COMPUTED_VALUE"""),0)</f>
        <v>0</v>
      </c>
      <c r="S106" s="261" t="str">
        <f>IFERROR(__xludf.DUMMYFUNCTION("""COMPUTED_VALUE"""),"Belum Invoice")</f>
        <v>Belum Invoice</v>
      </c>
      <c r="T106" s="261"/>
    </row>
    <row r="107" customHeight="1" spans="1:20">
      <c r="A107" s="255">
        <f>IFERROR(__xludf.DUMMYFUNCTION("""COMPUTED_VALUE"""),106)</f>
        <v>106</v>
      </c>
      <c r="B107" s="255" t="str">
        <f>IFERROR(__xludf.DUMMYFUNCTION("""COMPUTED_VALUE"""),"Survey Pemetaan, Desain Siteplan Lokasi BNG-D24")</f>
        <v>Survey Pemetaan, Desain Siteplan Lokasi BNG-D24</v>
      </c>
      <c r="C107" s="255" t="str">
        <f>IFERROR(__xludf.DUMMYFUNCTION("""COMPUTED_VALUE"""),"Benuang")</f>
        <v>Benuang</v>
      </c>
      <c r="D107" s="255" t="str">
        <f>IFERROR(__xludf.DUMMYFUNCTION("""COMPUTED_VALUE"""),"084/PHR72410/2026-S0")</f>
        <v>084/PHR72410/2026-S0</v>
      </c>
      <c r="E107" s="255">
        <f>IFERROR(__xludf.DUMMYFUNCTION("""COMPUTED_VALUE"""),42)</f>
        <v>42</v>
      </c>
      <c r="F107" s="255">
        <f>IFERROR(__xludf.DUMMYFUNCTION("""COMPUTED_VALUE"""),3.64)</f>
        <v>3.64</v>
      </c>
      <c r="G107" s="256">
        <f>IFERROR(__xludf.DUMMYFUNCTION("""COMPUTED_VALUE"""),46234)</f>
        <v>46234</v>
      </c>
      <c r="H107" s="256">
        <f>IFERROR(__xludf.DUMMYFUNCTION("""COMPUTED_VALUE"""),46275)</f>
        <v>46275</v>
      </c>
      <c r="I107" s="257">
        <f>IFERROR(__xludf.DUMMYFUNCTION("""COMPUTED_VALUE"""),62808000)</f>
        <v>62808000</v>
      </c>
      <c r="J107" s="255"/>
      <c r="K107" s="255"/>
      <c r="L107" s="255"/>
      <c r="M107" s="255"/>
      <c r="N107" s="255"/>
      <c r="O107" s="255"/>
      <c r="P107" s="255"/>
      <c r="Q107" s="255"/>
      <c r="R107" s="260">
        <f>IFERROR(__xludf.DUMMYFUNCTION("""COMPUTED_VALUE"""),0)</f>
        <v>0</v>
      </c>
      <c r="S107" s="261" t="str">
        <f>IFERROR(__xludf.DUMMYFUNCTION("""COMPUTED_VALUE"""),"Belum Invoice")</f>
        <v>Belum Invoice</v>
      </c>
      <c r="T107" s="261"/>
    </row>
    <row r="108" customHeight="1" spans="1:20">
      <c r="A108" s="255">
        <f>IFERROR(__xludf.DUMMYFUNCTION("""COMPUTED_VALUE"""),107)</f>
        <v>107</v>
      </c>
      <c r="B108" s="255" t="str">
        <f>IFERROR(__xludf.DUMMYFUNCTION("""COMPUTED_VALUE"""),"Survey Pemetaan, Desain Siteplan Lokasi TLJ-A51")</f>
        <v>Survey Pemetaan, Desain Siteplan Lokasi TLJ-A51</v>
      </c>
      <c r="C108" s="255" t="str">
        <f>IFERROR(__xludf.DUMMYFUNCTION("""COMPUTED_VALUE"""),"Talang Jimar")</f>
        <v>Talang Jimar</v>
      </c>
      <c r="D108" s="255" t="str">
        <f>IFERROR(__xludf.DUMMYFUNCTION("""COMPUTED_VALUE"""),"083/PHR72410/2026-S0")</f>
        <v>083/PHR72410/2026-S0</v>
      </c>
      <c r="E108" s="255">
        <f>IFERROR(__xludf.DUMMYFUNCTION("""COMPUTED_VALUE"""),42)</f>
        <v>42</v>
      </c>
      <c r="F108" s="255">
        <f>IFERROR(__xludf.DUMMYFUNCTION("""COMPUTED_VALUE"""),7.84)</f>
        <v>7.84</v>
      </c>
      <c r="G108" s="256">
        <f>IFERROR(__xludf.DUMMYFUNCTION("""COMPUTED_VALUE"""),46234)</f>
        <v>46234</v>
      </c>
      <c r="H108" s="256">
        <f>IFERROR(__xludf.DUMMYFUNCTION("""COMPUTED_VALUE"""),46275)</f>
        <v>46275</v>
      </c>
      <c r="I108" s="257">
        <f>IFERROR(__xludf.DUMMYFUNCTION("""COMPUTED_VALUE"""),77367000)</f>
        <v>77367000</v>
      </c>
      <c r="J108" s="255"/>
      <c r="K108" s="255"/>
      <c r="L108" s="255"/>
      <c r="M108" s="255"/>
      <c r="N108" s="255"/>
      <c r="O108" s="255"/>
      <c r="P108" s="255"/>
      <c r="Q108" s="255"/>
      <c r="R108" s="260">
        <f>IFERROR(__xludf.DUMMYFUNCTION("""COMPUTED_VALUE"""),0)</f>
        <v>0</v>
      </c>
      <c r="S108" s="261" t="str">
        <f>IFERROR(__xludf.DUMMYFUNCTION("""COMPUTED_VALUE"""),"Belum Invoice")</f>
        <v>Belum Invoice</v>
      </c>
      <c r="T108" s="261"/>
    </row>
    <row r="109" customHeight="1" spans="1:20">
      <c r="A109" s="255">
        <f>IFERROR(__xludf.DUMMYFUNCTION("""COMPUTED_VALUE"""),108)</f>
        <v>108</v>
      </c>
      <c r="B109" s="255" t="str">
        <f>IFERROR(__xludf.DUMMYFUNCTION("""COMPUTED_VALUE"""),"Survey Pemetaan, Desain Siteplan Lokasi BRG-C2")</f>
        <v>Survey Pemetaan, Desain Siteplan Lokasi BRG-C2</v>
      </c>
      <c r="C109" s="255" t="str">
        <f>IFERROR(__xludf.DUMMYFUNCTION("""COMPUTED_VALUE"""),"Beringin")</f>
        <v>Beringin</v>
      </c>
      <c r="D109" s="255" t="str">
        <f>IFERROR(__xludf.DUMMYFUNCTION("""COMPUTED_VALUE"""),"082/PHR72410/2026-S0")</f>
        <v>082/PHR72410/2026-S0</v>
      </c>
      <c r="E109" s="255">
        <f>IFERROR(__xludf.DUMMYFUNCTION("""COMPUTED_VALUE"""),42)</f>
        <v>42</v>
      </c>
      <c r="F109" s="255">
        <f>IFERROR(__xludf.DUMMYFUNCTION("""COMPUTED_VALUE"""),7.55)</f>
        <v>7.55</v>
      </c>
      <c r="G109" s="256">
        <f>IFERROR(__xludf.DUMMYFUNCTION("""COMPUTED_VALUE"""),46227)</f>
        <v>46227</v>
      </c>
      <c r="H109" s="256">
        <f>IFERROR(__xludf.DUMMYFUNCTION("""COMPUTED_VALUE"""),46268)</f>
        <v>46268</v>
      </c>
      <c r="I109" s="257">
        <f>IFERROR(__xludf.DUMMYFUNCTION("""COMPUTED_VALUE"""),80775000)</f>
        <v>80775000</v>
      </c>
      <c r="J109" s="255"/>
      <c r="K109" s="255"/>
      <c r="L109" s="255"/>
      <c r="M109" s="255"/>
      <c r="N109" s="255"/>
      <c r="O109" s="255"/>
      <c r="P109" s="255"/>
      <c r="Q109" s="255"/>
      <c r="R109" s="260">
        <f>IFERROR(__xludf.DUMMYFUNCTION("""COMPUTED_VALUE"""),0)</f>
        <v>0</v>
      </c>
      <c r="S109" s="261" t="str">
        <f>IFERROR(__xludf.DUMMYFUNCTION("""COMPUTED_VALUE"""),"Belum Invoice")</f>
        <v>Belum Invoice</v>
      </c>
      <c r="T109" s="261"/>
    </row>
    <row r="110" customHeight="1" spans="1:20">
      <c r="A110" s="255">
        <f>IFERROR(__xludf.DUMMYFUNCTION("""COMPUTED_VALUE"""),109)</f>
        <v>109</v>
      </c>
      <c r="B110" s="255" t="str">
        <f>IFERROR(__xludf.DUMMYFUNCTION("""COMPUTED_VALUE"""),"Survey Pemetaan, Desain Siteplan Lokasi RB-A3")</f>
        <v>Survey Pemetaan, Desain Siteplan Lokasi RB-A3</v>
      </c>
      <c r="C110" s="255" t="str">
        <f>IFERROR(__xludf.DUMMYFUNCTION("""COMPUTED_VALUE"""),"Ramba")</f>
        <v>Ramba</v>
      </c>
      <c r="D110" s="255" t="str">
        <f>IFERROR(__xludf.DUMMYFUNCTION("""COMPUTED_VALUE"""),"091/PHR72410/2026-S0")</f>
        <v>091/PHR72410/2026-S0</v>
      </c>
      <c r="E110" s="255">
        <f>IFERROR(__xludf.DUMMYFUNCTION("""COMPUTED_VALUE"""),42)</f>
        <v>42</v>
      </c>
      <c r="F110" s="255">
        <f>IFERROR(__xludf.DUMMYFUNCTION("""COMPUTED_VALUE"""),6.13)</f>
        <v>6.13</v>
      </c>
      <c r="G110" s="256">
        <f>IFERROR(__xludf.DUMMYFUNCTION("""COMPUTED_VALUE"""),46246)</f>
        <v>46246</v>
      </c>
      <c r="H110" s="256">
        <f>IFERROR(__xludf.DUMMYFUNCTION("""COMPUTED_VALUE"""),46287)</f>
        <v>46287</v>
      </c>
      <c r="I110" s="257">
        <f>IFERROR(__xludf.DUMMYFUNCTION("""COMPUTED_VALUE"""),75446000)</f>
        <v>75446000</v>
      </c>
      <c r="J110" s="255"/>
      <c r="K110" s="255"/>
      <c r="L110" s="255"/>
      <c r="M110" s="255"/>
      <c r="N110" s="255"/>
      <c r="O110" s="255"/>
      <c r="P110" s="255"/>
      <c r="Q110" s="255"/>
      <c r="R110" s="260">
        <f>IFERROR(__xludf.DUMMYFUNCTION("""COMPUTED_VALUE"""),0)</f>
        <v>0</v>
      </c>
      <c r="S110" s="261" t="str">
        <f>IFERROR(__xludf.DUMMYFUNCTION("""COMPUTED_VALUE"""),"Belum Invoice")</f>
        <v>Belum Invoice</v>
      </c>
      <c r="T110" s="261"/>
    </row>
    <row r="111" customHeight="1" spans="1:20">
      <c r="A111" s="255">
        <f>IFERROR(__xludf.DUMMYFUNCTION("""COMPUTED_VALUE"""),110)</f>
        <v>110</v>
      </c>
      <c r="B111" s="255" t="str">
        <f>IFERROR(__xludf.DUMMYFUNCTION("""COMPUTED_VALUE"""),"Survey Topography Jalur Flowline Lokasi GNK-PD77")</f>
        <v>Survey Topography Jalur Flowline Lokasi GNK-PD77</v>
      </c>
      <c r="C111" s="255" t="str">
        <f>IFERROR(__xludf.DUMMYFUNCTION("""COMPUTED_VALUE"""),"Gunung Kemala")</f>
        <v>Gunung Kemala</v>
      </c>
      <c r="D111" s="255" t="str">
        <f>IFERROR(__xludf.DUMMYFUNCTION("""COMPUTED_VALUE"""),"094/PHR72410/2026-S0")</f>
        <v>094/PHR72410/2026-S0</v>
      </c>
      <c r="E111" s="255">
        <f>IFERROR(__xludf.DUMMYFUNCTION("""COMPUTED_VALUE"""),20)</f>
        <v>20</v>
      </c>
      <c r="F111" s="255">
        <f>IFERROR(__xludf.DUMMYFUNCTION("""COMPUTED_VALUE"""),0)</f>
        <v>0</v>
      </c>
      <c r="G111" s="256">
        <f>IFERROR(__xludf.DUMMYFUNCTION("""COMPUTED_VALUE"""),46244)</f>
        <v>46244</v>
      </c>
      <c r="H111" s="256">
        <f>IFERROR(__xludf.DUMMYFUNCTION("""COMPUTED_VALUE"""),46263)</f>
        <v>46263</v>
      </c>
      <c r="I111" s="257">
        <f>IFERROR(__xludf.DUMMYFUNCTION("""COMPUTED_VALUE"""),6795000)</f>
        <v>6795000</v>
      </c>
      <c r="J111" s="255"/>
      <c r="K111" s="255"/>
      <c r="L111" s="255"/>
      <c r="M111" s="255"/>
      <c r="N111" s="255"/>
      <c r="O111" s="255"/>
      <c r="P111" s="255"/>
      <c r="Q111" s="255"/>
      <c r="R111" s="260">
        <f>IFERROR(__xludf.DUMMYFUNCTION("""COMPUTED_VALUE"""),0)</f>
        <v>0</v>
      </c>
      <c r="S111" s="261" t="str">
        <f>IFERROR(__xludf.DUMMYFUNCTION("""COMPUTED_VALUE"""),"Belum Invoice")</f>
        <v>Belum Invoice</v>
      </c>
      <c r="T111" s="261"/>
    </row>
    <row r="112" customHeight="1" spans="1:20">
      <c r="A112" s="255">
        <f>IFERROR(__xludf.DUMMYFUNCTION("""COMPUTED_VALUE"""),111)</f>
        <v>111</v>
      </c>
      <c r="B112" s="255" t="str">
        <f>IFERROR(__xludf.DUMMYFUNCTION("""COMPUTED_VALUE"""),"Survey Topography Jalur Flowline Cluster BNG")</f>
        <v>Survey Topography Jalur Flowline Cluster BNG</v>
      </c>
      <c r="C112" s="255" t="str">
        <f>IFERROR(__xludf.DUMMYFUNCTION("""COMPUTED_VALUE"""),"Benuang")</f>
        <v>Benuang</v>
      </c>
      <c r="D112" s="255" t="str">
        <f>IFERROR(__xludf.DUMMYFUNCTION("""COMPUTED_VALUE"""),"095/PHR72410/2026-S0")</f>
        <v>095/PHR72410/2026-S0</v>
      </c>
      <c r="E112" s="255">
        <f>IFERROR(__xludf.DUMMYFUNCTION("""COMPUTED_VALUE"""),42)</f>
        <v>42</v>
      </c>
      <c r="F112" s="255">
        <f>IFERROR(__xludf.DUMMYFUNCTION("""COMPUTED_VALUE"""),0.96)</f>
        <v>0.96</v>
      </c>
      <c r="G112" s="256">
        <f>IFERROR(__xludf.DUMMYFUNCTION("""COMPUTED_VALUE"""),46253)</f>
        <v>46253</v>
      </c>
      <c r="H112" s="256">
        <f>IFERROR(__xludf.DUMMYFUNCTION("""COMPUTED_VALUE"""),46294)</f>
        <v>46294</v>
      </c>
      <c r="I112" s="257">
        <f>IFERROR(__xludf.DUMMYFUNCTION("""COMPUTED_VALUE"""),26410000)</f>
        <v>26410000</v>
      </c>
      <c r="J112" s="255"/>
      <c r="K112" s="255"/>
      <c r="L112" s="255"/>
      <c r="M112" s="255"/>
      <c r="N112" s="255"/>
      <c r="O112" s="255"/>
      <c r="P112" s="255"/>
      <c r="Q112" s="255"/>
      <c r="R112" s="260">
        <f>IFERROR(__xludf.DUMMYFUNCTION("""COMPUTED_VALUE"""),0)</f>
        <v>0</v>
      </c>
      <c r="S112" s="261" t="str">
        <f>IFERROR(__xludf.DUMMYFUNCTION("""COMPUTED_VALUE"""),"Belum Invoice")</f>
        <v>Belum Invoice</v>
      </c>
      <c r="T112" s="261"/>
    </row>
    <row r="113" customHeight="1" spans="1:20">
      <c r="A113" s="255">
        <f>IFERROR(__xludf.DUMMYFUNCTION("""COMPUTED_VALUE"""),112)</f>
        <v>112</v>
      </c>
      <c r="B113" s="255" t="str">
        <f>IFERROR(__xludf.DUMMYFUNCTION("""COMPUTED_VALUE"""),"Stakeout &amp; Inventaris SP Lembak (Reposisi)")</f>
        <v>Stakeout &amp; Inventaris SP Lembak (Reposisi)</v>
      </c>
      <c r="C113" s="255" t="str">
        <f>IFERROR(__xludf.DUMMYFUNCTION("""COMPUTED_VALUE"""),"Lembak")</f>
        <v>Lembak</v>
      </c>
      <c r="D113" s="255" t="str">
        <f>IFERROR(__xludf.DUMMYFUNCTION("""COMPUTED_VALUE"""),"097/PHR72410/2026-S0")</f>
        <v>097/PHR72410/2026-S0</v>
      </c>
      <c r="E113" s="255">
        <f>IFERROR(__xludf.DUMMYFUNCTION("""COMPUTED_VALUE"""),22)</f>
        <v>22</v>
      </c>
      <c r="F113" s="255">
        <f>IFERROR(__xludf.DUMMYFUNCTION("""COMPUTED_VALUE"""),0)</f>
        <v>0</v>
      </c>
      <c r="G113" s="256">
        <f>IFERROR(__xludf.DUMMYFUNCTION("""COMPUTED_VALUE"""),46253)</f>
        <v>46253</v>
      </c>
      <c r="H113" s="256">
        <f>IFERROR(__xludf.DUMMYFUNCTION("""COMPUTED_VALUE"""),46274)</f>
        <v>46274</v>
      </c>
      <c r="I113" s="257">
        <f>IFERROR(__xludf.DUMMYFUNCTION("""COMPUTED_VALUE"""),7636000)</f>
        <v>7636000</v>
      </c>
      <c r="J113" s="255"/>
      <c r="K113" s="255"/>
      <c r="L113" s="255"/>
      <c r="M113" s="255"/>
      <c r="N113" s="255"/>
      <c r="O113" s="255"/>
      <c r="P113" s="255"/>
      <c r="Q113" s="255"/>
      <c r="R113" s="260">
        <f>IFERROR(__xludf.DUMMYFUNCTION("""COMPUTED_VALUE"""),0)</f>
        <v>0</v>
      </c>
      <c r="S113" s="261"/>
      <c r="T113" s="261"/>
    </row>
    <row r="114" customHeight="1" spans="1:20">
      <c r="A114" s="255">
        <f>IFERROR(__xludf.DUMMYFUNCTION("""COMPUTED_VALUE"""),113)</f>
        <v>113</v>
      </c>
      <c r="B114" s="255" t="str">
        <f>IFERROR(__xludf.DUMMYFUNCTION("""COMPUTED_VALUE"""),"Survey Topography Jalur Flowline GNK-PRDM2")</f>
        <v>Survey Topography Jalur Flowline GNK-PRDM2</v>
      </c>
      <c r="C114" s="255" t="str">
        <f>IFERROR(__xludf.DUMMYFUNCTION("""COMPUTED_VALUE"""),"Gunung Kemala")</f>
        <v>Gunung Kemala</v>
      </c>
      <c r="D114" s="255" t="str">
        <f>IFERROR(__xludf.DUMMYFUNCTION("""COMPUTED_VALUE"""),"100/PHR72410/2026-S0")</f>
        <v>100/PHR72410/2026-S0</v>
      </c>
      <c r="E114" s="255">
        <f>IFERROR(__xludf.DUMMYFUNCTION("""COMPUTED_VALUE"""),42)</f>
        <v>42</v>
      </c>
      <c r="F114" s="255">
        <f>IFERROR(__xludf.DUMMYFUNCTION("""COMPUTED_VALUE"""),0.75)</f>
        <v>0.75</v>
      </c>
      <c r="G114" s="256">
        <f>IFERROR(__xludf.DUMMYFUNCTION("""COMPUTED_VALUE"""),46252)</f>
        <v>46252</v>
      </c>
      <c r="H114" s="256">
        <f>IFERROR(__xludf.DUMMYFUNCTION("""COMPUTED_VALUE"""),46293)</f>
        <v>46293</v>
      </c>
      <c r="I114" s="257">
        <f>IFERROR(__xludf.DUMMYFUNCTION("""COMPUTED_VALUE"""),22484000)</f>
        <v>22484000</v>
      </c>
      <c r="J114" s="255"/>
      <c r="K114" s="255"/>
      <c r="L114" s="255"/>
      <c r="M114" s="255"/>
      <c r="N114" s="255"/>
      <c r="O114" s="255"/>
      <c r="P114" s="255"/>
      <c r="Q114" s="255"/>
      <c r="R114" s="260">
        <f>IFERROR(__xludf.DUMMYFUNCTION("""COMPUTED_VALUE"""),0)</f>
        <v>0</v>
      </c>
      <c r="S114" s="261"/>
      <c r="T114" s="261"/>
    </row>
    <row r="115" customHeight="1" spans="1:20">
      <c r="A115" s="261"/>
      <c r="B115" s="261" t="str">
        <f>IFERROR(__xludf.DUMMYFUNCTION("""COMPUTED_VALUE"""),"Survey Topography Jalur Flowline Lokasi BKB-STO.04")</f>
        <v>Survey Topography Jalur Flowline Lokasi BKB-STO.04</v>
      </c>
      <c r="C115" s="261" t="str">
        <f>IFERROR(__xludf.DUMMYFUNCTION("""COMPUTED_VALUE"""),"Benakat")</f>
        <v>Benakat</v>
      </c>
      <c r="D115" s="261"/>
      <c r="E115" s="261">
        <f>IFERROR(__xludf.DUMMYFUNCTION("""COMPUTED_VALUE"""),42)</f>
        <v>42</v>
      </c>
      <c r="F115" s="261"/>
      <c r="G115" s="263">
        <f>IFERROR(__xludf.DUMMYFUNCTION("""COMPUTED_VALUE"""),46275)</f>
        <v>46275</v>
      </c>
      <c r="H115" s="263">
        <f>IFERROR(__xludf.DUMMYFUNCTION("""COMPUTED_VALUE"""),46316)</f>
        <v>46316</v>
      </c>
      <c r="I115" s="264">
        <f>IFERROR(__xludf.DUMMYFUNCTION("""COMPUTED_VALUE"""),54055000)</f>
        <v>54055000</v>
      </c>
      <c r="J115" s="261"/>
      <c r="K115" s="261"/>
      <c r="L115" s="261"/>
      <c r="M115" s="261"/>
      <c r="N115" s="261"/>
      <c r="O115" s="261"/>
      <c r="P115" s="261"/>
      <c r="Q115" s="261"/>
      <c r="R115" s="265">
        <f>IFERROR(__xludf.DUMMYFUNCTION("""COMPUTED_VALUE"""),0)</f>
        <v>0</v>
      </c>
      <c r="S115" s="261"/>
      <c r="T115" s="261"/>
    </row>
    <row r="116" customHeight="1" spans="1:20">
      <c r="A116" s="261"/>
      <c r="B116" s="261" t="str">
        <f>IFERROR(__xludf.DUMMYFUNCTION("""COMPUTED_VALUE"""),"Survey Topography Jalur Flowline Lokasi BKB-AR.013")</f>
        <v>Survey Topography Jalur Flowline Lokasi BKB-AR.013</v>
      </c>
      <c r="C116" s="261"/>
      <c r="D116" s="261"/>
      <c r="E116" s="261"/>
      <c r="F116" s="261"/>
      <c r="G116" s="263">
        <f>IFERROR(__xludf.DUMMYFUNCTION("""COMPUTED_VALUE"""),46275)</f>
        <v>46275</v>
      </c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5">
        <f>IFERROR(__xludf.DUMMYFUNCTION("""COMPUTED_VALUE"""),0)</f>
        <v>0</v>
      </c>
      <c r="S116" s="261"/>
      <c r="T116" s="261"/>
    </row>
    <row r="117" customHeight="1" spans="1:20">
      <c r="A117" s="261"/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5">
        <f>IFERROR(__xludf.DUMMYFUNCTION("""COMPUTED_VALUE"""),0)</f>
        <v>0</v>
      </c>
      <c r="S117" s="261"/>
      <c r="T117" s="261"/>
    </row>
    <row r="118" customHeight="1" spans="1:20">
      <c r="A118" s="261"/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5">
        <f>IFERROR(__xludf.DUMMYFUNCTION("""COMPUTED_VALUE"""),0)</f>
        <v>0</v>
      </c>
      <c r="S118" s="261"/>
      <c r="T118" s="261"/>
    </row>
    <row r="119" customHeight="1" spans="1:20">
      <c r="A119" s="261"/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</row>
    <row r="120" customHeight="1" spans="1:20">
      <c r="A120" s="261"/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</row>
    <row r="121" customHeight="1" spans="1:20">
      <c r="A121" s="261"/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</row>
    <row r="122" customHeight="1" spans="1:20">
      <c r="A122" s="261"/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</row>
    <row r="123" customHeight="1" spans="1:20">
      <c r="A123" s="261"/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</row>
    <row r="124" customHeight="1" spans="1:20">
      <c r="A124" s="261"/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</row>
    <row r="125" customHeight="1" spans="1:20">
      <c r="A125" s="261"/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</row>
    <row r="126" customHeight="1" spans="1:20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</row>
    <row r="127" customHeight="1" spans="1:20">
      <c r="A127" s="261"/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</row>
    <row r="128" customHeight="1" spans="1:20">
      <c r="A128" s="261"/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</row>
    <row r="129" customHeight="1" spans="1:20">
      <c r="A129" s="261"/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</row>
    <row r="130" customHeight="1" spans="1:20">
      <c r="A130" s="261"/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</row>
    <row r="131" customHeight="1" spans="1:20">
      <c r="A131" s="261"/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</row>
    <row r="132" customHeight="1" spans="1:20">
      <c r="A132" s="261"/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</row>
    <row r="133" customHeight="1" spans="1:20">
      <c r="A133" s="261"/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</row>
    <row r="134" customHeight="1" spans="1:20">
      <c r="A134" s="261"/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</row>
    <row r="135" customHeight="1" spans="1:20">
      <c r="A135" s="261"/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</row>
    <row r="136" customHeight="1" spans="1:20">
      <c r="A136" s="261"/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</row>
    <row r="137" customHeight="1" spans="1:20">
      <c r="A137" s="261"/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</row>
    <row r="138" customHeight="1" spans="1:20">
      <c r="A138" s="261"/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</row>
    <row r="139" customHeight="1" spans="1:20">
      <c r="A139" s="261"/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</row>
    <row r="140" customHeight="1" spans="1:20">
      <c r="A140" s="261"/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</row>
    <row r="141" customHeight="1" spans="1:20">
      <c r="A141" s="261"/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</row>
    <row r="142" customHeight="1" spans="1:20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</row>
    <row r="143" customHeight="1" spans="1:20">
      <c r="A143" s="261"/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</row>
    <row r="144" customHeight="1" spans="1:20">
      <c r="A144" s="261"/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</row>
    <row r="145" customHeight="1" spans="1:20">
      <c r="A145" s="261"/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</row>
    <row r="146" customHeight="1" spans="1:20">
      <c r="A146" s="261"/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</row>
    <row r="147" customHeight="1" spans="1:20">
      <c r="A147" s="261"/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</row>
    <row r="148" customHeight="1" spans="1:20">
      <c r="A148" s="261"/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</row>
    <row r="149" customHeight="1" spans="1:20">
      <c r="A149" s="261"/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</row>
    <row r="150" customHeight="1" spans="1:20">
      <c r="A150" s="261"/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</row>
    <row r="151" customHeight="1" spans="1:20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</row>
    <row r="152" customHeight="1" spans="1:20">
      <c r="A152" s="261"/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</row>
    <row r="153" customHeight="1" spans="1:20">
      <c r="A153" s="261"/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</row>
    <row r="154" customHeight="1" spans="1:20">
      <c r="A154" s="261"/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</row>
    <row r="155" customHeight="1" spans="1:20">
      <c r="A155" s="261"/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</row>
    <row r="156" customHeight="1" spans="1:20">
      <c r="A156" s="261"/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</row>
    <row r="157" customHeight="1" spans="1:20">
      <c r="A157" s="261"/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</row>
    <row r="158" customHeight="1" spans="1:20">
      <c r="A158" s="261"/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</row>
    <row r="159" customHeight="1" spans="1:20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</row>
    <row r="160" customHeight="1" spans="1:20">
      <c r="A160" s="261"/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</row>
    <row r="161" customHeight="1" spans="1:20">
      <c r="A161" s="261"/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</row>
    <row r="162" customHeight="1" spans="1:20">
      <c r="A162" s="261"/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</row>
    <row r="163" customHeight="1" spans="1:20">
      <c r="A163" s="261"/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</row>
    <row r="164" customHeight="1" spans="1:20">
      <c r="A164" s="261"/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</row>
    <row r="165" customHeight="1" spans="1:20">
      <c r="A165" s="261"/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</row>
    <row r="166" customHeight="1" spans="1:20">
      <c r="A166" s="261"/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</row>
    <row r="167" customHeight="1" spans="1:20">
      <c r="A167" s="261"/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</row>
    <row r="168" customHeight="1" spans="1:20">
      <c r="A168" s="261"/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</row>
    <row r="169" customHeight="1" spans="1:20">
      <c r="A169" s="261"/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</row>
    <row r="170" customHeight="1" spans="1:20">
      <c r="A170" s="261"/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</row>
    <row r="171" customHeight="1" spans="1:20">
      <c r="A171" s="261"/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</row>
    <row r="172" customHeight="1" spans="1:20">
      <c r="A172" s="261"/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</row>
    <row r="173" customHeight="1" spans="1:20">
      <c r="A173" s="261"/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</row>
    <row r="174" customHeight="1" spans="1:20">
      <c r="A174" s="261"/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</row>
    <row r="175" customHeight="1" spans="1:20">
      <c r="A175" s="261"/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</row>
    <row r="176" customHeight="1" spans="1:20">
      <c r="A176" s="261"/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</row>
    <row r="177" customHeight="1" spans="1:20">
      <c r="A177" s="261"/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</row>
    <row r="178" customHeight="1" spans="1:20">
      <c r="A178" s="261"/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</row>
    <row r="179" customHeight="1" spans="1:20">
      <c r="A179" s="261"/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</row>
    <row r="180" customHeight="1" spans="1:20">
      <c r="A180" s="261"/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</row>
    <row r="181" customHeight="1" spans="1:20">
      <c r="A181" s="261"/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</row>
    <row r="182" customHeight="1" spans="1:20">
      <c r="A182" s="261"/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</row>
    <row r="183" customHeight="1" spans="1:20">
      <c r="A183" s="261"/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</row>
    <row r="184" customHeight="1" spans="1:20">
      <c r="A184" s="261"/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</row>
    <row r="185" customHeight="1" spans="1:20">
      <c r="A185" s="261"/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</row>
    <row r="186" customHeight="1" spans="1:20">
      <c r="A186" s="261"/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</row>
    <row r="187" customHeight="1" spans="1:20">
      <c r="A187" s="261"/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</row>
    <row r="188" customHeight="1" spans="1:20">
      <c r="A188" s="261"/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</row>
    <row r="189" customHeight="1" spans="1:20">
      <c r="A189" s="261"/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</row>
    <row r="190" customHeight="1" spans="1:20">
      <c r="A190" s="261"/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</row>
    <row r="191" customHeight="1" spans="1:20">
      <c r="A191" s="261"/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</row>
    <row r="192" customHeight="1" spans="1:20">
      <c r="A192" s="261"/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</row>
    <row r="193" customHeight="1" spans="1:20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</row>
    <row r="194" customHeight="1" spans="1:20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</row>
    <row r="195" customHeight="1" spans="1:20">
      <c r="A195" s="261"/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</row>
    <row r="196" customHeight="1" spans="1:20">
      <c r="A196" s="261"/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</row>
    <row r="197" customHeight="1" spans="1:20">
      <c r="A197" s="261"/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</row>
    <row r="198" customHeight="1" spans="1:20">
      <c r="A198" s="261"/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</row>
    <row r="199" customHeight="1" spans="1:20">
      <c r="A199" s="261"/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</row>
    <row r="200" customHeight="1" spans="1:2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</row>
    <row r="201" customHeight="1" spans="1:20">
      <c r="A201" s="261"/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</row>
    <row r="202" customHeight="1" spans="1:20">
      <c r="A202" s="261"/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</row>
    <row r="203" customHeight="1" spans="1:20">
      <c r="A203" s="261"/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</row>
    <row r="204" customHeight="1" spans="1:20">
      <c r="A204" s="261"/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</row>
    <row r="205" customHeight="1" spans="1:20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</row>
    <row r="206" customHeight="1" spans="1:20">
      <c r="A206" s="261"/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</row>
    <row r="207" customHeight="1" spans="1:20">
      <c r="A207" s="261"/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</row>
    <row r="208" customHeight="1" spans="1:20">
      <c r="A208" s="261"/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</row>
    <row r="209" customHeight="1" spans="1:20">
      <c r="A209" s="261"/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</row>
    <row r="210" customHeight="1" spans="1:20">
      <c r="A210" s="261"/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</row>
    <row r="211" customHeight="1" spans="1:20">
      <c r="A211" s="261"/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</row>
    <row r="212" customHeight="1" spans="1:20">
      <c r="A212" s="261"/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</row>
    <row r="213" customHeight="1" spans="1:20">
      <c r="A213" s="261"/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</row>
    <row r="214" customHeight="1" spans="1:20">
      <c r="A214" s="261"/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</row>
    <row r="215" customHeight="1" spans="1:20">
      <c r="A215" s="261"/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</row>
    <row r="216" customHeight="1" spans="1:20">
      <c r="A216" s="261"/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</row>
    <row r="217" customHeight="1" spans="1:20">
      <c r="A217" s="261"/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</row>
    <row r="218" customHeight="1" spans="1:20">
      <c r="A218" s="261"/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</row>
    <row r="219" customHeight="1" spans="1:20">
      <c r="A219" s="261"/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</row>
    <row r="220" customHeight="1" spans="1:20">
      <c r="A220" s="261"/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</row>
    <row r="221" customHeight="1" spans="1:20">
      <c r="A221" s="261"/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</row>
    <row r="222" customHeight="1" spans="1:20">
      <c r="A222" s="261"/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</row>
    <row r="223" customHeight="1" spans="1:20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</row>
    <row r="224" customHeight="1" spans="1:20">
      <c r="A224" s="261"/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</row>
    <row r="225" customHeight="1" spans="1:20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</row>
    <row r="226" customHeight="1" spans="1:20">
      <c r="A226" s="261"/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</row>
    <row r="227" customHeight="1" spans="1:20">
      <c r="A227" s="261"/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</row>
    <row r="228" customHeight="1" spans="1:20">
      <c r="A228" s="261"/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</row>
    <row r="229" customHeight="1" spans="1:20">
      <c r="A229" s="261"/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</row>
    <row r="230" customHeight="1" spans="1:20">
      <c r="A230" s="261"/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</row>
    <row r="231" customHeight="1" spans="1:20">
      <c r="A231" s="261"/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</row>
    <row r="232" customHeight="1" spans="1:20">
      <c r="A232" s="261"/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</row>
    <row r="233" customHeight="1" spans="1:20">
      <c r="A233" s="261"/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</row>
    <row r="234" customHeight="1" spans="1:20">
      <c r="A234" s="261"/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</row>
    <row r="235" customHeight="1" spans="1:20">
      <c r="A235" s="261"/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</row>
    <row r="236" customHeight="1" spans="1:20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</row>
    <row r="237" customHeight="1" spans="1:20">
      <c r="A237" s="261"/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</row>
    <row r="238" customHeight="1" spans="1:20">
      <c r="A238" s="261"/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</row>
    <row r="239" customHeight="1" spans="1:20">
      <c r="A239" s="261"/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</row>
    <row r="240" customHeight="1" spans="1:20">
      <c r="A240" s="261"/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</row>
    <row r="241" customHeight="1" spans="1:20">
      <c r="A241" s="261"/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</row>
    <row r="242" customHeight="1" spans="1:20">
      <c r="A242" s="261"/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</row>
    <row r="243" customHeight="1" spans="1:20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</row>
    <row r="244" customHeight="1" spans="1:20">
      <c r="A244" s="261"/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</row>
    <row r="245" customHeight="1" spans="1:20">
      <c r="A245" s="261"/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</row>
    <row r="246" customHeight="1" spans="1:20">
      <c r="A246" s="261"/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</row>
    <row r="247" customHeight="1" spans="1:20">
      <c r="A247" s="261"/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</row>
    <row r="248" customHeight="1" spans="1:20">
      <c r="A248" s="261"/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</row>
    <row r="249" customHeight="1" spans="1:20">
      <c r="A249" s="261"/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</row>
    <row r="250" customHeight="1" spans="1:20">
      <c r="A250" s="261"/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</row>
    <row r="251" customHeight="1" spans="1:20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</row>
    <row r="252" customHeight="1" spans="1:20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</row>
    <row r="253" customHeight="1" spans="1:20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</row>
    <row r="254" customHeight="1" spans="1:20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</row>
    <row r="255" customHeight="1" spans="1:20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</row>
    <row r="256" customHeight="1" spans="1:20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</row>
    <row r="257" customHeight="1" spans="1:20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</row>
    <row r="258" customHeight="1" spans="1:20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</row>
    <row r="259" customHeight="1" spans="1:20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</row>
    <row r="260" customHeight="1" spans="1:20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</row>
    <row r="261" customHeight="1" spans="1:20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</row>
    <row r="262" customHeight="1" spans="1:20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</row>
    <row r="263" customHeight="1" spans="1:20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</row>
    <row r="264" customHeight="1" spans="1:20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</row>
    <row r="265" customHeight="1" spans="1:20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</row>
    <row r="266" customHeight="1" spans="1:20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</row>
    <row r="267" customHeight="1" spans="1:20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</row>
    <row r="268" customHeight="1" spans="1:20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</row>
    <row r="269" customHeight="1" spans="1:20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</row>
    <row r="270" customHeight="1" spans="1:20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</row>
    <row r="271" customHeight="1" spans="1:20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</row>
    <row r="272" customHeight="1" spans="1:20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</row>
    <row r="273" customHeight="1" spans="1:20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</row>
    <row r="274" customHeight="1" spans="1:20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</row>
    <row r="275" customHeight="1" spans="1:20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</row>
    <row r="276" customHeight="1" spans="1:20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</row>
    <row r="277" customHeight="1" spans="1:20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</row>
    <row r="278" customHeight="1" spans="1:20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</row>
    <row r="279" customHeight="1" spans="1:20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</row>
    <row r="280" customHeight="1" spans="1:20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</row>
    <row r="281" customHeight="1" spans="1:20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</row>
    <row r="282" customHeight="1" spans="1:20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</row>
    <row r="283" customHeight="1" spans="1:20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</row>
    <row r="284" customHeight="1" spans="1:20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</row>
    <row r="285" customHeight="1" spans="1:20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</row>
    <row r="286" customHeight="1" spans="1:20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</row>
    <row r="287" customHeight="1" spans="1:20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</row>
    <row r="288" customHeight="1" spans="1:20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</row>
    <row r="289" customHeight="1" spans="1:20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</row>
    <row r="290" customHeight="1" spans="1:20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</row>
    <row r="291" customHeight="1" spans="1:20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</row>
    <row r="292" customHeight="1" spans="1:20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</row>
    <row r="293" customHeight="1" spans="1:20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</row>
    <row r="294" customHeight="1" spans="1:20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</row>
    <row r="295" customHeight="1" spans="1:20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</row>
    <row r="296" customHeight="1" spans="1:20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</row>
    <row r="297" customHeight="1" spans="1:20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</row>
    <row r="298" customHeight="1" spans="1:20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</row>
    <row r="299" customHeight="1" spans="1:20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</row>
    <row r="300" customHeight="1" spans="1:20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</row>
    <row r="301" customHeight="1" spans="1:20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</row>
    <row r="302" customHeight="1" spans="1:20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</row>
    <row r="303" customHeight="1" spans="1:20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</row>
    <row r="304" customHeight="1" spans="1:20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</row>
    <row r="305" customHeight="1" spans="1:20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</row>
    <row r="306" customHeight="1" spans="1:20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</row>
    <row r="307" customHeight="1" spans="1:20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</row>
    <row r="308" customHeight="1" spans="1:20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</row>
    <row r="309" customHeight="1" spans="1:20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</row>
    <row r="310" customHeight="1" spans="1:20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</row>
    <row r="311" customHeight="1" spans="1:20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</row>
    <row r="312" customHeight="1" spans="1:20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</row>
    <row r="313" customHeight="1" spans="1:20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</row>
    <row r="314" customHeight="1" spans="1:20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</row>
    <row r="315" customHeight="1" spans="1:20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</row>
    <row r="316" customHeight="1" spans="1:20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</row>
    <row r="317" customHeight="1" spans="1:20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</row>
    <row r="318" customHeight="1" spans="1:20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</row>
    <row r="319" customHeight="1" spans="1:20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</row>
    <row r="320" customHeight="1" spans="1:20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</row>
    <row r="321" customHeight="1" spans="1:20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</row>
    <row r="322" customHeight="1" spans="1:20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</row>
    <row r="323" customHeight="1" spans="1:20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</row>
    <row r="324" customHeight="1" spans="1:20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</row>
    <row r="325" customHeight="1" spans="1:20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</row>
    <row r="326" customHeight="1" spans="1:20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</row>
    <row r="327" customHeight="1" spans="1:20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</row>
    <row r="328" customHeight="1" spans="1:20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</row>
    <row r="329" customHeight="1" spans="1:20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</row>
    <row r="330" customHeight="1" spans="1:20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</row>
    <row r="331" customHeight="1" spans="1:20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</row>
    <row r="332" customHeight="1" spans="1:20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</row>
    <row r="333" customHeight="1" spans="1:20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</row>
    <row r="334" customHeight="1" spans="1:20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</row>
    <row r="335" customHeight="1" spans="1:20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</row>
    <row r="336" customHeight="1" spans="1:20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</row>
    <row r="337" customHeight="1" spans="1:20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</row>
    <row r="338" customHeight="1" spans="1:20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</row>
    <row r="339" customHeight="1" spans="1:20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</row>
    <row r="340" customHeight="1" spans="1:20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</row>
    <row r="341" customHeight="1" spans="1:20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</row>
    <row r="342" customHeight="1" spans="1:20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</row>
    <row r="343" customHeight="1" spans="1:20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</row>
    <row r="344" customHeight="1" spans="1:20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</row>
    <row r="345" customHeight="1" spans="1:20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</row>
    <row r="346" customHeight="1" spans="1:20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</row>
    <row r="347" customHeight="1" spans="1:20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</row>
    <row r="348" customHeight="1" spans="1:20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</row>
    <row r="349" customHeight="1" spans="1:20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</row>
    <row r="350" customHeight="1" spans="1:20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</row>
    <row r="351" customHeight="1" spans="1:20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</row>
    <row r="352" customHeight="1" spans="1:20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</row>
    <row r="353" customHeight="1" spans="1:20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</row>
    <row r="354" customHeight="1" spans="1:20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</row>
    <row r="355" customHeight="1" spans="1:20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</row>
    <row r="356" customHeight="1" spans="1:20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</row>
    <row r="357" customHeight="1" spans="1:20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</row>
    <row r="358" customHeight="1" spans="1:20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</row>
    <row r="359" customHeight="1" spans="1:20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</row>
    <row r="360" customHeight="1" spans="1:20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</row>
    <row r="361" customHeight="1" spans="1:20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</row>
    <row r="362" customHeight="1" spans="1:20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</row>
    <row r="363" customHeight="1" spans="1:20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</row>
    <row r="364" customHeight="1" spans="1:20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</row>
    <row r="365" customHeight="1" spans="1:20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</row>
    <row r="366" customHeight="1" spans="1:20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</row>
    <row r="367" customHeight="1" spans="1:20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</row>
    <row r="368" customHeight="1" spans="1:20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</row>
    <row r="369" customHeight="1" spans="1:20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</row>
    <row r="370" customHeight="1" spans="1:20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</row>
    <row r="371" customHeight="1" spans="1:20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</row>
    <row r="372" customHeight="1" spans="1:20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</row>
    <row r="373" customHeight="1" spans="1:20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</row>
    <row r="374" customHeight="1" spans="1:20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</row>
    <row r="375" customHeight="1" spans="1:20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</row>
    <row r="376" customHeight="1" spans="1:20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</row>
    <row r="377" customHeight="1" spans="1:20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</row>
    <row r="378" customHeight="1" spans="1:20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</row>
    <row r="379" customHeight="1" spans="1:20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</row>
    <row r="380" customHeight="1" spans="1:20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</row>
    <row r="381" customHeight="1" spans="1:20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</row>
    <row r="382" customHeight="1" spans="1:20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</row>
    <row r="383" customHeight="1" spans="1:20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</row>
    <row r="384" customHeight="1" spans="1:20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</row>
    <row r="385" customHeight="1" spans="1:20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</row>
    <row r="386" customHeight="1" spans="1:20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</row>
    <row r="387" customHeight="1" spans="1:20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</row>
    <row r="388" customHeight="1" spans="1:20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</row>
    <row r="389" customHeight="1" spans="1:20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</row>
    <row r="390" customHeight="1" spans="1:20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</row>
    <row r="391" customHeight="1" spans="1:20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</row>
    <row r="392" customHeight="1" spans="1:20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</row>
    <row r="393" customHeight="1" spans="1:20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</row>
    <row r="394" customHeight="1" spans="1:20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</row>
    <row r="395" customHeight="1" spans="1:20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</row>
    <row r="396" customHeight="1" spans="1:20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</row>
    <row r="397" customHeight="1" spans="1:20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</row>
    <row r="398" customHeight="1" spans="1:20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</row>
    <row r="399" customHeight="1" spans="1:20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</row>
    <row r="400" customHeight="1" spans="1:20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</row>
    <row r="401" customHeight="1" spans="1:20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</row>
    <row r="402" customHeight="1" spans="1:20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</row>
    <row r="403" customHeight="1" spans="1:20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</row>
    <row r="404" customHeight="1" spans="1:20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</row>
    <row r="405" customHeight="1" spans="1:20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</row>
    <row r="406" customHeight="1" spans="1:20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</row>
    <row r="407" customHeight="1" spans="1:20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</row>
    <row r="408" customHeight="1" spans="1:20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</row>
    <row r="409" customHeight="1" spans="1:20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</row>
    <row r="410" customHeight="1" spans="1:20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</row>
    <row r="411" customHeight="1" spans="1:20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</row>
    <row r="412" customHeight="1" spans="1:20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</row>
    <row r="413" customHeight="1" spans="1:20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</row>
    <row r="414" customHeight="1" spans="1:20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</row>
    <row r="415" customHeight="1" spans="1:20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</row>
    <row r="416" customHeight="1" spans="1:20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</row>
    <row r="417" customHeight="1" spans="1:20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</row>
    <row r="418" customHeight="1" spans="1:20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</row>
    <row r="419" customHeight="1" spans="1:20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</row>
    <row r="420" customHeight="1" spans="1:20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</row>
    <row r="421" customHeight="1" spans="1:20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</row>
    <row r="422" customHeight="1" spans="1:20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</row>
    <row r="423" customHeight="1" spans="1:20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</row>
    <row r="424" customHeight="1" spans="1:20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</row>
    <row r="425" customHeight="1" spans="1:20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</row>
    <row r="426" customHeight="1" spans="1:20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</row>
    <row r="427" customHeight="1" spans="1:20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</row>
    <row r="428" customHeight="1" spans="1:20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</row>
    <row r="429" customHeight="1" spans="1:20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</row>
    <row r="430" customHeight="1" spans="1:20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</row>
    <row r="431" customHeight="1" spans="1:20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</row>
    <row r="432" customHeight="1" spans="1:20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</row>
    <row r="433" customHeight="1" spans="1:20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</row>
    <row r="434" customHeight="1" spans="1:20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</row>
    <row r="435" customHeight="1" spans="1:20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</row>
    <row r="436" customHeight="1" spans="1:20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</row>
    <row r="437" customHeight="1" spans="1:20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</row>
    <row r="438" customHeight="1" spans="1:20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</row>
    <row r="439" customHeight="1" spans="1:20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</row>
    <row r="440" customHeight="1" spans="1:20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</row>
    <row r="441" customHeight="1" spans="1:20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</row>
    <row r="442" customHeight="1" spans="1:20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</row>
    <row r="443" customHeight="1" spans="1:20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</row>
    <row r="444" customHeight="1" spans="1:20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</row>
    <row r="445" customHeight="1" spans="1:20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</row>
    <row r="446" customHeight="1" spans="1:20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</row>
    <row r="447" customHeight="1" spans="1:20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</row>
    <row r="448" customHeight="1" spans="1:20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</row>
    <row r="449" customHeight="1" spans="1:20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</row>
    <row r="450" customHeight="1" spans="1:20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</row>
    <row r="451" customHeight="1" spans="1:20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</row>
    <row r="452" customHeight="1" spans="1:20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</row>
    <row r="453" customHeight="1" spans="1:20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</row>
    <row r="454" customHeight="1" spans="1:20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</row>
    <row r="455" customHeight="1" spans="1:20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</row>
    <row r="456" customHeight="1" spans="1:20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</row>
    <row r="457" customHeight="1" spans="1:20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</row>
    <row r="458" customHeight="1" spans="1:20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</row>
    <row r="459" customHeight="1" spans="1:20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</row>
    <row r="460" customHeight="1" spans="1:20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</row>
    <row r="461" customHeight="1" spans="1:20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</row>
    <row r="462" customHeight="1" spans="1:20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</row>
    <row r="463" customHeight="1" spans="1:20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</row>
    <row r="464" customHeight="1" spans="1:20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</row>
    <row r="465" customHeight="1" spans="1:20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</row>
    <row r="466" customHeight="1" spans="1:20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</row>
    <row r="467" customHeight="1" spans="1:20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</row>
    <row r="468" customHeight="1" spans="1:20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</row>
    <row r="469" customHeight="1" spans="1:20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</row>
    <row r="470" customHeight="1" spans="1:20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</row>
    <row r="471" customHeight="1" spans="1:20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</row>
    <row r="472" customHeight="1" spans="1:20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</row>
    <row r="473" customHeight="1" spans="1:20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</row>
    <row r="474" customHeight="1" spans="1:20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</row>
    <row r="475" customHeight="1" spans="1:20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</row>
    <row r="476" customHeight="1" spans="1:20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</row>
    <row r="477" customHeight="1" spans="1:20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</row>
    <row r="478" customHeight="1" spans="1:20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</row>
    <row r="479" customHeight="1" spans="1:20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</row>
    <row r="480" customHeight="1" spans="1:20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</row>
    <row r="481" customHeight="1" spans="1:20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</row>
    <row r="482" customHeight="1" spans="1:20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</row>
    <row r="483" customHeight="1" spans="1:20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</row>
    <row r="484" customHeight="1" spans="1:20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</row>
    <row r="485" customHeight="1" spans="1:20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</row>
    <row r="486" customHeight="1" spans="1:20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</row>
    <row r="487" customHeight="1" spans="1:20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</row>
    <row r="488" customHeight="1" spans="1:20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</row>
    <row r="489" customHeight="1" spans="1:20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</row>
    <row r="490" customHeight="1" spans="1:20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</row>
    <row r="491" customHeight="1" spans="1:20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</row>
    <row r="492" customHeight="1" spans="1:20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</row>
    <row r="493" customHeight="1" spans="1:20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</row>
    <row r="494" customHeight="1" spans="1:20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</row>
    <row r="495" customHeight="1" spans="1:20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</row>
    <row r="496" customHeight="1" spans="1:20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</row>
    <row r="497" customHeight="1" spans="1:20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</row>
    <row r="498" customHeight="1" spans="1:20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</row>
    <row r="499" customHeight="1" spans="1:20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</row>
    <row r="500" customHeight="1" spans="1:20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</row>
    <row r="501" customHeight="1" spans="1:20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</row>
    <row r="502" customHeight="1" spans="1:20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</row>
    <row r="503" customHeight="1" spans="1:20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</row>
    <row r="504" customHeight="1" spans="1:20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</row>
    <row r="505" customHeight="1" spans="1:20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</row>
    <row r="506" customHeight="1" spans="1:20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</row>
    <row r="507" customHeight="1" spans="1:20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</row>
    <row r="508" customHeight="1" spans="1:20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</row>
    <row r="509" customHeight="1" spans="1:20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</row>
    <row r="510" customHeight="1" spans="1:20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</row>
    <row r="511" customHeight="1" spans="1:20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</row>
    <row r="512" customHeight="1" spans="1:20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</row>
    <row r="513" customHeight="1" spans="1:20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</row>
    <row r="514" customHeight="1" spans="1:20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</row>
    <row r="515" customHeight="1" spans="1:20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</row>
    <row r="516" customHeight="1" spans="1:20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</row>
    <row r="517" customHeight="1" spans="1:20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</row>
    <row r="518" customHeight="1" spans="1:20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</row>
    <row r="519" customHeight="1" spans="1:20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</row>
    <row r="520" customHeight="1" spans="1:20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</row>
    <row r="521" customHeight="1" spans="1:20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</row>
    <row r="522" customHeight="1" spans="1:20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</row>
    <row r="523" customHeight="1" spans="1:20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</row>
    <row r="524" customHeight="1" spans="1:20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</row>
    <row r="525" customHeight="1" spans="1:20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</row>
    <row r="526" customHeight="1" spans="1:20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</row>
    <row r="527" customHeight="1" spans="1:20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</row>
    <row r="528" customHeight="1" spans="1:20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</row>
    <row r="529" customHeight="1" spans="1:20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</row>
    <row r="530" customHeight="1" spans="1:20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</row>
    <row r="531" customHeight="1" spans="1:20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</row>
    <row r="532" customHeight="1" spans="1:20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</row>
    <row r="533" customHeight="1" spans="1:20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</row>
    <row r="534" customHeight="1" spans="1:20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</row>
    <row r="535" customHeight="1" spans="1:20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</row>
    <row r="536" customHeight="1" spans="1:20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</row>
    <row r="537" customHeight="1" spans="1:20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</row>
    <row r="538" customHeight="1" spans="1:20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</row>
    <row r="539" customHeight="1" spans="1:20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</row>
    <row r="540" customHeight="1" spans="1:20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</row>
    <row r="541" customHeight="1" spans="1:20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</row>
    <row r="542" customHeight="1" spans="1:20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</row>
    <row r="543" customHeight="1" spans="1:20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</row>
    <row r="544" customHeight="1" spans="1:20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</row>
    <row r="545" customHeight="1" spans="1:20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</row>
    <row r="546" customHeight="1" spans="1:20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</row>
    <row r="547" customHeight="1" spans="1:20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</row>
    <row r="548" customHeight="1" spans="1:20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</row>
    <row r="549" customHeight="1" spans="1:20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</row>
    <row r="550" customHeight="1" spans="1:20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</row>
    <row r="551" customHeight="1" spans="1:20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</row>
    <row r="552" customHeight="1" spans="1:20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</row>
    <row r="553" customHeight="1" spans="1:20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</row>
    <row r="554" customHeight="1" spans="1:20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</row>
    <row r="555" customHeight="1" spans="1:20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</row>
    <row r="556" customHeight="1" spans="1:20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</row>
    <row r="557" customHeight="1" spans="1:20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</row>
    <row r="558" customHeight="1" spans="1:20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</row>
    <row r="559" customHeight="1" spans="1:20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</row>
    <row r="560" customHeight="1" spans="1:20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</row>
    <row r="561" customHeight="1" spans="1:20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</row>
    <row r="562" customHeight="1" spans="1:20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</row>
    <row r="563" customHeight="1" spans="1:20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</row>
    <row r="564" customHeight="1" spans="1:20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</row>
    <row r="565" customHeight="1" spans="1:20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</row>
    <row r="566" customHeight="1" spans="1:20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</row>
    <row r="567" customHeight="1" spans="1:20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</row>
    <row r="568" customHeight="1" spans="1:20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</row>
    <row r="569" customHeight="1" spans="1:20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</row>
    <row r="570" customHeight="1" spans="1:20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</row>
    <row r="571" customHeight="1" spans="1:20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</row>
    <row r="572" customHeight="1" spans="1:20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</row>
    <row r="573" customHeight="1" spans="1:20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</row>
    <row r="574" customHeight="1" spans="1:20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</row>
    <row r="575" customHeight="1" spans="1:20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</row>
    <row r="576" customHeight="1" spans="1:20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</row>
    <row r="577" customHeight="1" spans="1:20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</row>
    <row r="578" customHeight="1" spans="1:20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</row>
    <row r="579" customHeight="1" spans="1:20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</row>
    <row r="580" customHeight="1" spans="1:20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</row>
    <row r="581" customHeight="1" spans="1:20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</row>
    <row r="582" customHeight="1" spans="1:20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</row>
    <row r="583" customHeight="1" spans="1:20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</row>
    <row r="584" customHeight="1" spans="1:20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</row>
    <row r="585" customHeight="1" spans="1:20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</row>
    <row r="586" customHeight="1" spans="1:20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</row>
    <row r="587" customHeight="1" spans="1:20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</row>
    <row r="588" customHeight="1" spans="1:20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</row>
    <row r="589" customHeight="1" spans="1:20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</row>
    <row r="590" customHeight="1" spans="1:20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</row>
    <row r="591" customHeight="1" spans="1:20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</row>
    <row r="592" customHeight="1" spans="1:20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</row>
    <row r="593" customHeight="1" spans="1:20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</row>
    <row r="594" customHeight="1" spans="1:20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</row>
    <row r="595" customHeight="1" spans="1:20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</row>
    <row r="596" customHeight="1" spans="1:20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</row>
    <row r="597" customHeight="1" spans="1:20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</row>
    <row r="598" customHeight="1" spans="1:20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</row>
    <row r="599" customHeight="1" spans="1:20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</row>
    <row r="600" customHeight="1" spans="1:20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</row>
    <row r="601" customHeight="1" spans="1:20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</row>
    <row r="602" customHeight="1" spans="1:20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</row>
    <row r="603" customHeight="1" spans="1:20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</row>
    <row r="604" customHeight="1" spans="1:20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</row>
    <row r="605" customHeight="1" spans="1:20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</row>
    <row r="606" customHeight="1" spans="1:20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</row>
    <row r="607" customHeight="1" spans="1:20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</row>
    <row r="608" customHeight="1" spans="1:20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</row>
    <row r="609" customHeight="1" spans="1:20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</row>
    <row r="610" customHeight="1" spans="1:20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</row>
    <row r="611" customHeight="1" spans="1:20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</row>
    <row r="612" customHeight="1" spans="1:20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</row>
    <row r="613" customHeight="1" spans="1:20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</row>
    <row r="614" customHeight="1" spans="1:20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</row>
    <row r="615" customHeight="1" spans="1:20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</row>
    <row r="616" customHeight="1" spans="1:20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</row>
    <row r="617" customHeight="1" spans="1:20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</row>
    <row r="618" customHeight="1" spans="1:20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</row>
    <row r="619" customHeight="1" spans="1:20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</row>
    <row r="620" customHeight="1" spans="1:20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</row>
    <row r="621" customHeight="1" spans="1:20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</row>
    <row r="622" customHeight="1" spans="1:20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</row>
    <row r="623" customHeight="1" spans="1:20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</row>
    <row r="624" customHeight="1" spans="1:20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</row>
    <row r="625" customHeight="1" spans="1:20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</row>
    <row r="626" customHeight="1" spans="1:20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</row>
    <row r="627" customHeight="1" spans="1:20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</row>
    <row r="628" customHeight="1" spans="1:20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</row>
    <row r="629" customHeight="1" spans="1:20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</row>
    <row r="630" customHeight="1" spans="1:20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</row>
    <row r="631" customHeight="1" spans="1:20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</row>
    <row r="632" customHeight="1" spans="1:20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</row>
    <row r="633" customHeight="1" spans="1:20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</row>
    <row r="634" customHeight="1" spans="1:20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</row>
    <row r="635" customHeight="1" spans="1:20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</row>
    <row r="636" customHeight="1" spans="1:20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</row>
    <row r="637" customHeight="1" spans="1:20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</row>
    <row r="638" customHeight="1" spans="1:20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</row>
    <row r="639" customHeight="1" spans="1:20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</row>
    <row r="640" customHeight="1" spans="1:20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</row>
    <row r="641" customHeight="1" spans="1:20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</row>
    <row r="642" customHeight="1" spans="1:20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</row>
    <row r="643" customHeight="1" spans="1:20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</row>
    <row r="644" customHeight="1" spans="1:20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</row>
    <row r="645" customHeight="1" spans="1:20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</row>
    <row r="646" customHeight="1" spans="1:20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</row>
    <row r="647" customHeight="1" spans="1:20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</row>
    <row r="648" customHeight="1" spans="1:20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</row>
    <row r="649" customHeight="1" spans="1:20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</row>
    <row r="650" customHeight="1" spans="1:20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</row>
    <row r="651" customHeight="1" spans="1:20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</row>
    <row r="652" customHeight="1" spans="1:20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</row>
    <row r="653" customHeight="1" spans="1:20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</row>
    <row r="654" customHeight="1" spans="1:20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</row>
    <row r="655" customHeight="1" spans="1:20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</row>
    <row r="656" customHeight="1" spans="1:20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</row>
    <row r="657" customHeight="1" spans="1:20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</row>
    <row r="658" customHeight="1" spans="1:20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</row>
    <row r="659" customHeight="1" spans="1:20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</row>
    <row r="660" customHeight="1" spans="1:20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</row>
    <row r="661" customHeight="1" spans="1:20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</row>
    <row r="662" customHeight="1" spans="1:20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</row>
    <row r="663" customHeight="1" spans="1:20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</row>
    <row r="664" customHeight="1" spans="1:20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</row>
    <row r="665" customHeight="1" spans="1:20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</row>
    <row r="666" customHeight="1" spans="1:20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</row>
    <row r="667" customHeight="1" spans="1:20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</row>
    <row r="668" customHeight="1" spans="1:20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</row>
    <row r="669" customHeight="1" spans="1:20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</row>
    <row r="670" customHeight="1" spans="1:20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</row>
    <row r="671" customHeight="1" spans="1:20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</row>
    <row r="672" customHeight="1" spans="1:20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</row>
    <row r="673" customHeight="1" spans="1:20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</row>
    <row r="674" customHeight="1" spans="1:20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</row>
    <row r="675" customHeight="1" spans="1:20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</row>
    <row r="676" customHeight="1" spans="1:20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</row>
    <row r="677" customHeight="1" spans="1:20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</row>
    <row r="678" customHeight="1" spans="1:20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</row>
    <row r="679" customHeight="1" spans="1:20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</row>
    <row r="680" customHeight="1" spans="1:20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</row>
    <row r="681" customHeight="1" spans="1:20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</row>
    <row r="682" customHeight="1" spans="1:20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</row>
    <row r="683" customHeight="1" spans="1:20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</row>
    <row r="684" customHeight="1" spans="1:20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</row>
    <row r="685" customHeight="1" spans="1:20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</row>
    <row r="686" customHeight="1" spans="1:20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</row>
    <row r="687" customHeight="1" spans="1:20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</row>
    <row r="688" customHeight="1" spans="1:20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</row>
    <row r="689" customHeight="1" spans="1:20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</row>
    <row r="690" customHeight="1" spans="1:20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</row>
    <row r="691" customHeight="1" spans="1:20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</row>
    <row r="692" customHeight="1" spans="1:20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</row>
    <row r="693" customHeight="1" spans="1:20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</row>
    <row r="694" customHeight="1" spans="1:20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</row>
    <row r="695" customHeight="1" spans="1:20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</row>
    <row r="696" customHeight="1" spans="1:20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</row>
    <row r="697" customHeight="1" spans="1:20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</row>
    <row r="698" customHeight="1" spans="1:20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</row>
    <row r="699" customHeight="1" spans="1:20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</row>
    <row r="700" customHeight="1" spans="1:20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</row>
    <row r="701" customHeight="1" spans="1:20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</row>
    <row r="702" customHeight="1" spans="1:20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</row>
    <row r="703" customHeight="1" spans="1:20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</row>
    <row r="704" customHeight="1" spans="1:20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</row>
    <row r="705" customHeight="1" spans="1:20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</row>
    <row r="706" customHeight="1" spans="1:20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</row>
    <row r="707" customHeight="1" spans="1:20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</row>
    <row r="708" customHeight="1" spans="1:20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</row>
    <row r="709" customHeight="1" spans="1:20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</row>
    <row r="710" customHeight="1" spans="1:20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</row>
    <row r="711" customHeight="1" spans="1:20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</row>
    <row r="712" customHeight="1" spans="1:20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</row>
    <row r="713" customHeight="1" spans="1:20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</row>
    <row r="714" customHeight="1" spans="1:20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</row>
    <row r="715" customHeight="1" spans="1:20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</row>
    <row r="716" customHeight="1" spans="1:20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</row>
    <row r="717" customHeight="1" spans="1:20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</row>
    <row r="718" customHeight="1" spans="1:20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</row>
    <row r="719" customHeight="1" spans="1:20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</row>
    <row r="720" customHeight="1" spans="1:20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</row>
    <row r="721" customHeight="1" spans="1:20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</row>
    <row r="722" customHeight="1" spans="1:20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</row>
    <row r="723" customHeight="1" spans="1:20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</row>
    <row r="724" customHeight="1" spans="1:20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</row>
    <row r="725" customHeight="1" spans="1:20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</row>
    <row r="726" customHeight="1" spans="1:20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</row>
    <row r="727" customHeight="1" spans="1:20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</row>
    <row r="728" customHeight="1" spans="1:20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</row>
    <row r="729" customHeight="1" spans="1:20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</row>
    <row r="730" customHeight="1" spans="1:20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</row>
    <row r="731" customHeight="1" spans="1:20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</row>
    <row r="732" customHeight="1" spans="1:20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</row>
    <row r="733" customHeight="1" spans="1:20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</row>
    <row r="734" customHeight="1" spans="1:20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</row>
    <row r="735" customHeight="1" spans="1:20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</row>
    <row r="736" customHeight="1" spans="1:20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</row>
    <row r="737" customHeight="1" spans="1:20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</row>
    <row r="738" customHeight="1" spans="1:20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</row>
    <row r="739" customHeight="1" spans="1:20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</row>
    <row r="740" customHeight="1" spans="1:20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</row>
    <row r="741" customHeight="1" spans="1:20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</row>
    <row r="742" customHeight="1" spans="1:20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</row>
    <row r="743" customHeight="1" spans="1:20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</row>
    <row r="744" customHeight="1" spans="1:20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</row>
    <row r="745" customHeight="1" spans="1:20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</row>
    <row r="746" customHeight="1" spans="1:20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</row>
    <row r="747" customHeight="1" spans="1:20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</row>
    <row r="748" customHeight="1" spans="1:20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</row>
    <row r="749" customHeight="1" spans="1:20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</row>
    <row r="750" customHeight="1" spans="1:20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</row>
    <row r="751" customHeight="1" spans="1:20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</row>
    <row r="752" customHeight="1" spans="1:20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</row>
    <row r="753" customHeight="1" spans="1:20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</row>
    <row r="754" customHeight="1" spans="1:20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</row>
    <row r="755" customHeight="1" spans="1:20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</row>
    <row r="756" customHeight="1" spans="1:20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</row>
    <row r="757" customHeight="1" spans="1:20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</row>
    <row r="758" customHeight="1" spans="1:20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</row>
    <row r="759" customHeight="1" spans="1:20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</row>
    <row r="760" customHeight="1" spans="1:20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</row>
    <row r="761" customHeight="1" spans="1:20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</row>
    <row r="762" customHeight="1" spans="1:20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</row>
    <row r="763" customHeight="1" spans="1:20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</row>
    <row r="764" customHeight="1" spans="1:20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</row>
    <row r="765" customHeight="1" spans="1:20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</row>
    <row r="766" customHeight="1" spans="1:20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</row>
    <row r="767" customHeight="1" spans="1:20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</row>
    <row r="768" customHeight="1" spans="1:20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</row>
    <row r="769" customHeight="1" spans="1:20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</row>
    <row r="770" customHeight="1" spans="1:20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</row>
    <row r="771" customHeight="1" spans="1:20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</row>
    <row r="772" customHeight="1" spans="1:20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</row>
    <row r="773" customHeight="1" spans="1:20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</row>
    <row r="774" customHeight="1" spans="1:20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</row>
    <row r="775" customHeight="1" spans="1:20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</row>
    <row r="776" customHeight="1" spans="1:20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</row>
    <row r="777" customHeight="1" spans="1:20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</row>
    <row r="778" customHeight="1" spans="1:20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</row>
    <row r="779" customHeight="1" spans="1:20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</row>
    <row r="780" customHeight="1" spans="1:20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</row>
    <row r="781" customHeight="1" spans="1:20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</row>
    <row r="782" customHeight="1" spans="1:20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</row>
    <row r="783" customHeight="1" spans="1:20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</row>
    <row r="784" customHeight="1" spans="1:20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</row>
    <row r="785" customHeight="1" spans="1:20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</row>
    <row r="786" customHeight="1" spans="1:20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</row>
    <row r="787" customHeight="1" spans="1:20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</row>
    <row r="788" customHeight="1" spans="1:20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</row>
    <row r="789" customHeight="1" spans="1:20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</row>
    <row r="790" customHeight="1" spans="1:20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</row>
    <row r="791" customHeight="1" spans="1:20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</row>
    <row r="792" customHeight="1" spans="1:20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</row>
    <row r="793" customHeight="1" spans="1:20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</row>
    <row r="794" customHeight="1" spans="1:20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</row>
    <row r="795" customHeight="1" spans="1:20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</row>
    <row r="796" customHeight="1" spans="1:20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</row>
    <row r="797" customHeight="1" spans="1:20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</row>
    <row r="798" customHeight="1" spans="1:20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</row>
    <row r="799" customHeight="1" spans="1:20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</row>
    <row r="800" customHeight="1" spans="1:20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</row>
    <row r="801" customHeight="1" spans="1:20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</row>
    <row r="802" customHeight="1" spans="1:20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</row>
    <row r="803" customHeight="1" spans="1:20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</row>
    <row r="804" customHeight="1" spans="1:20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</row>
    <row r="805" customHeight="1" spans="1:20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</row>
    <row r="806" customHeight="1" spans="1:20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</row>
    <row r="807" customHeight="1" spans="1:20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</row>
    <row r="808" customHeight="1" spans="1:20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</row>
    <row r="809" customHeight="1" spans="1:20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</row>
    <row r="810" customHeight="1" spans="1:20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</row>
    <row r="811" customHeight="1" spans="1:20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</row>
    <row r="812" customHeight="1" spans="1:20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</row>
    <row r="813" customHeight="1" spans="1:20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</row>
    <row r="814" customHeight="1" spans="1:20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</row>
    <row r="815" customHeight="1" spans="1:20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</row>
    <row r="816" customHeight="1" spans="1:20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</row>
    <row r="817" customHeight="1" spans="1:20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</row>
    <row r="818" customHeight="1" spans="1:20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</row>
    <row r="819" customHeight="1" spans="1:20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</row>
    <row r="820" customHeight="1" spans="1:20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</row>
    <row r="821" customHeight="1" spans="1:20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</row>
    <row r="822" customHeight="1" spans="1:20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</row>
    <row r="823" customHeight="1" spans="1:20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</row>
    <row r="824" customHeight="1" spans="1:20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</row>
    <row r="825" customHeight="1" spans="1:20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</row>
    <row r="826" customHeight="1" spans="1:20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</row>
    <row r="827" customHeight="1" spans="1:20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</row>
    <row r="828" customHeight="1" spans="1:20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</row>
    <row r="829" customHeight="1" spans="1:20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</row>
    <row r="830" customHeight="1" spans="1:20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</row>
    <row r="831" customHeight="1" spans="1:20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</row>
    <row r="832" customHeight="1" spans="1:20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</row>
    <row r="833" customHeight="1" spans="1:20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</row>
    <row r="834" customHeight="1" spans="1:20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</row>
    <row r="835" customHeight="1" spans="1:20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</row>
    <row r="836" customHeight="1" spans="1:20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</row>
    <row r="837" customHeight="1" spans="1:20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</row>
    <row r="838" customHeight="1" spans="1:20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</row>
    <row r="839" customHeight="1" spans="1:20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</row>
    <row r="840" customHeight="1" spans="1:20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</row>
    <row r="841" customHeight="1" spans="1:20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</row>
    <row r="842" customHeight="1" spans="1:20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</row>
    <row r="843" customHeight="1" spans="1:20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</row>
    <row r="844" customHeight="1" spans="1:20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</row>
    <row r="845" customHeight="1" spans="1:20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</row>
    <row r="846" customHeight="1" spans="1:20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</row>
    <row r="847" customHeight="1" spans="1:20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</row>
    <row r="848" customHeight="1" spans="1:20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</row>
    <row r="849" customHeight="1" spans="1:20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</row>
    <row r="850" customHeight="1" spans="1:20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</row>
    <row r="851" customHeight="1" spans="1:20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</row>
    <row r="852" customHeight="1" spans="1:20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</row>
    <row r="853" customHeight="1" spans="1:20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</row>
    <row r="854" customHeight="1" spans="1:20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</row>
    <row r="855" customHeight="1" spans="1:20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</row>
    <row r="856" customHeight="1" spans="1:20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</row>
    <row r="857" customHeight="1" spans="1:20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</row>
    <row r="858" customHeight="1" spans="1:20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</row>
    <row r="859" customHeight="1" spans="1:20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</row>
    <row r="860" customHeight="1" spans="1:20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</row>
    <row r="861" customHeight="1" spans="1:20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</row>
    <row r="862" customHeight="1" spans="1:20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</row>
    <row r="863" customHeight="1" spans="1:20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</row>
    <row r="864" customHeight="1" spans="1:20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</row>
    <row r="865" customHeight="1" spans="1:20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</row>
    <row r="866" customHeight="1" spans="1:20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</row>
    <row r="867" customHeight="1" spans="1:20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</row>
    <row r="868" customHeight="1" spans="1:20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</row>
    <row r="869" customHeight="1" spans="1:20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</row>
    <row r="870" customHeight="1" spans="1:20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</row>
    <row r="871" customHeight="1" spans="1:20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</row>
    <row r="872" customHeight="1" spans="1:20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</row>
    <row r="873" customHeight="1" spans="1:20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</row>
    <row r="874" customHeight="1" spans="1:20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</row>
    <row r="875" customHeight="1" spans="1:20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</row>
    <row r="876" customHeight="1" spans="1:20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</row>
    <row r="877" customHeight="1" spans="1:20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</row>
    <row r="878" customHeight="1" spans="1:20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</row>
    <row r="879" customHeight="1" spans="1:20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</row>
    <row r="880" customHeight="1" spans="1:20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</row>
    <row r="881" customHeight="1" spans="1:20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</row>
    <row r="882" customHeight="1" spans="1:20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</row>
    <row r="883" customHeight="1" spans="1:20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</row>
    <row r="884" customHeight="1" spans="1:20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</row>
    <row r="885" customHeight="1" spans="1:20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</row>
    <row r="886" customHeight="1" spans="1:20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</row>
    <row r="887" customHeight="1" spans="1:20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</row>
    <row r="888" customHeight="1" spans="1:20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</row>
    <row r="889" customHeight="1" spans="1:20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</row>
    <row r="890" customHeight="1" spans="1:20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</row>
    <row r="891" customHeight="1" spans="1:20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</row>
    <row r="892" customHeight="1" spans="1:20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</row>
    <row r="893" customHeight="1" spans="1:20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</row>
    <row r="894" customHeight="1" spans="1:20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</row>
    <row r="895" customHeight="1" spans="1:20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</row>
    <row r="896" customHeight="1" spans="1:20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</row>
    <row r="897" customHeight="1" spans="1:20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</row>
    <row r="898" customHeight="1" spans="1:20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</row>
    <row r="899" customHeight="1" spans="1:20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</row>
    <row r="900" customHeight="1" spans="1:20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</row>
    <row r="901" customHeight="1" spans="1:20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</row>
    <row r="902" customHeight="1" spans="1:20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</row>
    <row r="903" customHeight="1" spans="1:20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</row>
    <row r="904" customHeight="1" spans="1:20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</row>
    <row r="905" customHeight="1" spans="1:20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</row>
    <row r="906" customHeight="1" spans="1:20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</row>
    <row r="907" customHeight="1" spans="1:20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</row>
    <row r="908" customHeight="1" spans="1:20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</row>
    <row r="909" customHeight="1" spans="1:20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</row>
    <row r="910" customHeight="1" spans="1:20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</row>
    <row r="911" customHeight="1" spans="1:20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</row>
    <row r="912" customHeight="1" spans="1:20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</row>
    <row r="913" customHeight="1" spans="1:20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</row>
    <row r="914" customHeight="1" spans="1:20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</row>
    <row r="915" customHeight="1" spans="1:20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</row>
    <row r="916" customHeight="1" spans="1:20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</row>
    <row r="917" customHeight="1" spans="1:20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</row>
    <row r="918" customHeight="1" spans="1:20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</row>
    <row r="919" customHeight="1" spans="1:20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</row>
    <row r="920" customHeight="1" spans="1:20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</row>
    <row r="921" customHeight="1" spans="1:20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</row>
    <row r="922" customHeight="1" spans="1:20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</row>
    <row r="923" customHeight="1" spans="1:20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</row>
    <row r="924" customHeight="1" spans="1:20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</row>
    <row r="925" customHeight="1" spans="1:20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</row>
    <row r="926" customHeight="1" spans="1:20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</row>
    <row r="927" customHeight="1" spans="1:20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</row>
    <row r="928" customHeight="1" spans="1:20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</row>
    <row r="929" customHeight="1" spans="1:20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</row>
    <row r="930" customHeight="1" spans="1:20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</row>
    <row r="931" customHeight="1" spans="1:20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</row>
    <row r="932" customHeight="1" spans="1:20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</row>
    <row r="933" customHeight="1" spans="1:20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</row>
    <row r="934" customHeight="1" spans="1:20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</row>
    <row r="935" customHeight="1" spans="1:20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</row>
    <row r="936" customHeight="1" spans="1:20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</row>
    <row r="937" customHeight="1" spans="1:20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</row>
    <row r="938" customHeight="1" spans="1:20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</row>
    <row r="939" customHeight="1" spans="1:20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</row>
    <row r="940" customHeight="1" spans="1:20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</row>
    <row r="941" customHeight="1" spans="1:20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</row>
    <row r="942" customHeight="1" spans="1:20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</row>
    <row r="943" customHeight="1" spans="1:20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</row>
    <row r="944" customHeight="1" spans="1:20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</row>
    <row r="945" customHeight="1" spans="1:20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</row>
    <row r="946" customHeight="1" spans="1:20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</row>
    <row r="947" customHeight="1" spans="1:20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</row>
    <row r="948" customHeight="1" spans="1:20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</row>
    <row r="949" customHeight="1" spans="1:20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</row>
    <row r="950" customHeight="1" spans="1:20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</row>
    <row r="951" customHeight="1" spans="1:20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</row>
    <row r="952" customHeight="1" spans="1:20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</row>
    <row r="953" customHeight="1" spans="1:20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</row>
    <row r="954" customHeight="1" spans="1:20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</row>
    <row r="955" customHeight="1" spans="1:20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</row>
    <row r="956" customHeight="1" spans="1:20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</row>
    <row r="957" customHeight="1" spans="1:20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</row>
    <row r="958" customHeight="1" spans="1:20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</row>
    <row r="959" customHeight="1" spans="1:20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</row>
    <row r="960" customHeight="1" spans="1:20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</row>
    <row r="961" customHeight="1" spans="1:20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</row>
    <row r="962" customHeight="1" spans="1:20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</row>
    <row r="963" customHeight="1" spans="1:20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</row>
    <row r="964" customHeight="1" spans="1:20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</row>
    <row r="965" customHeight="1" spans="1:20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</row>
    <row r="966" customHeight="1" spans="1:20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</row>
    <row r="967" customHeight="1" spans="1:20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</row>
    <row r="968" customHeight="1" spans="1:20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</row>
    <row r="969" customHeight="1" spans="1:20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</row>
    <row r="970" customHeight="1" spans="1:20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</row>
    <row r="971" customHeight="1" spans="1:20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</row>
    <row r="972" customHeight="1" spans="1:20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</row>
    <row r="973" customHeight="1" spans="1:20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</row>
    <row r="974" customHeight="1" spans="1:20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</row>
    <row r="975" customHeight="1" spans="1:20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</row>
    <row r="976" customHeight="1" spans="1:20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</row>
    <row r="977" customHeight="1" spans="1:20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</row>
    <row r="978" customHeight="1" spans="1:20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</row>
    <row r="979" customHeight="1" spans="1:20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</row>
    <row r="980" customHeight="1" spans="1:20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</row>
    <row r="981" customHeight="1" spans="1:20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</row>
    <row r="982" customHeight="1" spans="1:20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</row>
    <row r="983" customHeight="1" spans="1:20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</row>
    <row r="984" customHeight="1" spans="1:20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</row>
    <row r="985" customHeight="1" spans="1:20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</row>
    <row r="986" customHeight="1" spans="1:20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</row>
    <row r="987" customHeight="1" spans="1:20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</row>
    <row r="988" customHeight="1" spans="1:20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</row>
    <row r="989" customHeight="1" spans="1:20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</row>
    <row r="990" customHeight="1" spans="1:20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</row>
    <row r="991" customHeight="1" spans="1:20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</row>
    <row r="992" customHeight="1" spans="1:20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</row>
    <row r="993" customHeight="1" spans="1:20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</row>
    <row r="994" customHeight="1" spans="1:20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</row>
    <row r="995" customHeight="1" spans="1:20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</row>
    <row r="996" customHeight="1" spans="1:20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</row>
    <row r="997" customHeight="1" spans="1:20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</row>
    <row r="998" customHeight="1" spans="1:20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</row>
    <row r="999" customHeight="1" spans="1:20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</row>
    <row r="1000" customHeight="1" spans="1:20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</row>
  </sheetData>
  <autoFilter xmlns:etc="http://www.wps.cn/officeDocument/2017/etCustomData" ref="A1:S1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AE1048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C6" sqref="C6"/>
    </sheetView>
  </sheetViews>
  <sheetFormatPr defaultColWidth="14.4259259259259" defaultRowHeight="15" customHeight="1"/>
  <cols>
    <col min="1" max="1" width="10.1388888888889" customWidth="1"/>
    <col min="2" max="2" width="100" customWidth="1"/>
    <col min="3" max="3" width="22.1388888888889" customWidth="1"/>
    <col min="4" max="4" width="31.712962962963" customWidth="1"/>
    <col min="5" max="5" width="10.1388888888889" customWidth="1"/>
    <col min="6" max="6" width="9.86111111111111" customWidth="1"/>
    <col min="7" max="8" width="13.287037037037" customWidth="1"/>
    <col min="9" max="9" width="22.1388888888889" customWidth="1"/>
    <col min="10" max="10" width="21.1388888888889" customWidth="1"/>
    <col min="11" max="15" width="15.712962962963" customWidth="1"/>
    <col min="16" max="16" width="10.1388888888889" customWidth="1"/>
    <col min="17" max="17" width="16.1388888888889" customWidth="1"/>
    <col min="18" max="18" width="17.287037037037" customWidth="1"/>
    <col min="19" max="31" width="10.1388888888889" customWidth="1"/>
  </cols>
  <sheetData>
    <row r="1" ht="15.75" customHeight="1" spans="1:31">
      <c r="A1" s="168" t="s">
        <v>0</v>
      </c>
      <c r="B1" s="169" t="s">
        <v>1</v>
      </c>
      <c r="C1" s="169" t="s">
        <v>2</v>
      </c>
      <c r="D1" s="170" t="s">
        <v>3</v>
      </c>
      <c r="E1" s="171"/>
      <c r="F1" s="171"/>
      <c r="G1" s="171"/>
      <c r="H1" s="171"/>
      <c r="I1" s="172"/>
      <c r="J1" s="173" t="s">
        <v>4</v>
      </c>
      <c r="K1" s="173" t="s">
        <v>5</v>
      </c>
      <c r="L1" s="173" t="s">
        <v>6</v>
      </c>
      <c r="M1" s="173" t="s">
        <v>7</v>
      </c>
      <c r="N1" s="174" t="s">
        <v>8</v>
      </c>
      <c r="O1" s="174" t="s">
        <v>9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</row>
    <row r="2" ht="15.15" spans="1:31">
      <c r="A2" s="176"/>
      <c r="B2" s="177"/>
      <c r="C2" s="177"/>
      <c r="D2" s="178"/>
      <c r="E2" s="179"/>
      <c r="F2" s="179"/>
      <c r="G2" s="179"/>
      <c r="H2" s="179"/>
      <c r="I2" s="180"/>
      <c r="J2" s="177"/>
      <c r="K2" s="177"/>
      <c r="L2" s="177"/>
      <c r="M2" s="177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</row>
    <row r="3" customHeight="1" spans="1:31">
      <c r="A3" s="176"/>
      <c r="B3" s="177"/>
      <c r="C3" s="177"/>
      <c r="D3" s="181" t="s">
        <v>10</v>
      </c>
      <c r="E3" s="181" t="s">
        <v>11</v>
      </c>
      <c r="F3" s="181" t="s">
        <v>12</v>
      </c>
      <c r="G3" s="181" t="s">
        <v>13</v>
      </c>
      <c r="H3" s="181" t="s">
        <v>14</v>
      </c>
      <c r="I3" s="181" t="s">
        <v>15</v>
      </c>
      <c r="J3" s="177"/>
      <c r="K3" s="177"/>
      <c r="L3" s="177"/>
      <c r="M3" s="177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</row>
    <row r="4" ht="14.4" spans="1:3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</row>
    <row r="5" ht="15.15" spans="1:31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</row>
    <row r="6" ht="16.35" spans="1:31">
      <c r="A6" s="184">
        <v>1</v>
      </c>
      <c r="B6" s="185" t="s">
        <v>16</v>
      </c>
      <c r="C6" s="186" t="s">
        <v>17</v>
      </c>
      <c r="D6" s="187" t="s">
        <v>18</v>
      </c>
      <c r="E6" s="186">
        <v>42</v>
      </c>
      <c r="F6" s="186">
        <v>9.26</v>
      </c>
      <c r="G6" s="188">
        <v>45905</v>
      </c>
      <c r="H6" s="186" t="s">
        <v>19</v>
      </c>
      <c r="I6" s="189">
        <v>101006000</v>
      </c>
      <c r="J6" s="190">
        <v>93196000</v>
      </c>
      <c r="K6" s="191"/>
      <c r="L6" s="191"/>
      <c r="M6" s="191">
        <v>110379000</v>
      </c>
      <c r="N6" s="192">
        <v>93196000</v>
      </c>
      <c r="O6" s="193" t="s">
        <v>20</v>
      </c>
      <c r="P6" s="175"/>
      <c r="Q6" s="175" t="s">
        <v>21</v>
      </c>
      <c r="R6" s="194">
        <v>14562975000</v>
      </c>
      <c r="S6" s="175"/>
      <c r="T6" s="175" t="s">
        <v>22</v>
      </c>
      <c r="U6" s="195">
        <f>SUM(J:J)</f>
        <v>5078481000</v>
      </c>
      <c r="V6" s="175"/>
      <c r="W6" s="175"/>
      <c r="X6" s="175"/>
      <c r="Y6" s="175"/>
      <c r="Z6" s="175"/>
      <c r="AA6" s="175"/>
      <c r="AB6" s="175"/>
      <c r="AC6" s="175"/>
      <c r="AD6" s="175"/>
      <c r="AE6" s="175"/>
    </row>
    <row r="7" ht="16.35" spans="1:31">
      <c r="A7" s="184">
        <v>2</v>
      </c>
      <c r="B7" s="185" t="s">
        <v>23</v>
      </c>
      <c r="C7" s="186" t="s">
        <v>24</v>
      </c>
      <c r="D7" s="187" t="s">
        <v>25</v>
      </c>
      <c r="E7" s="186">
        <v>42</v>
      </c>
      <c r="F7" s="186">
        <v>8.5</v>
      </c>
      <c r="G7" s="188">
        <v>45905</v>
      </c>
      <c r="H7" s="186" t="s">
        <v>19</v>
      </c>
      <c r="I7" s="189">
        <v>86823000</v>
      </c>
      <c r="J7" s="190">
        <v>85532000</v>
      </c>
      <c r="K7" s="191"/>
      <c r="L7" s="191"/>
      <c r="M7" s="191">
        <v>65568000</v>
      </c>
      <c r="N7" s="192">
        <v>85532000</v>
      </c>
      <c r="O7" s="193" t="s">
        <v>20</v>
      </c>
      <c r="P7" s="175"/>
      <c r="Q7" s="175" t="s">
        <v>26</v>
      </c>
      <c r="R7" s="195">
        <f>SUM(I:I)</f>
        <v>7580069000</v>
      </c>
      <c r="S7" s="175"/>
      <c r="T7" s="175" t="s">
        <v>27</v>
      </c>
      <c r="U7" s="195">
        <f>R7-U6</f>
        <v>2501588000</v>
      </c>
      <c r="V7" s="175"/>
      <c r="W7" s="175"/>
      <c r="X7" s="175"/>
      <c r="Y7" s="175"/>
      <c r="Z7" s="175"/>
      <c r="AA7" s="175"/>
      <c r="AB7" s="175"/>
      <c r="AC7" s="175"/>
      <c r="AD7" s="175"/>
      <c r="AE7" s="175"/>
    </row>
    <row r="8" ht="16.35" spans="1:31">
      <c r="A8" s="184">
        <v>3</v>
      </c>
      <c r="B8" s="185" t="s">
        <v>28</v>
      </c>
      <c r="C8" s="186" t="s">
        <v>29</v>
      </c>
      <c r="D8" s="187" t="s">
        <v>30</v>
      </c>
      <c r="E8" s="186">
        <v>42</v>
      </c>
      <c r="F8" s="186">
        <v>4.16</v>
      </c>
      <c r="G8" s="188">
        <v>45905</v>
      </c>
      <c r="H8" s="186" t="s">
        <v>19</v>
      </c>
      <c r="I8" s="189">
        <v>66833000</v>
      </c>
      <c r="J8" s="190">
        <v>56817000</v>
      </c>
      <c r="K8" s="191"/>
      <c r="L8" s="191"/>
      <c r="M8" s="191">
        <v>54070000</v>
      </c>
      <c r="N8" s="192">
        <v>56817000</v>
      </c>
      <c r="O8" s="193" t="s">
        <v>20</v>
      </c>
      <c r="P8" s="175"/>
      <c r="Q8" s="175" t="s">
        <v>31</v>
      </c>
      <c r="R8" s="195">
        <f>SUMIF(O:O,"Invoice",J:J)</f>
        <v>2100961000</v>
      </c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</row>
    <row r="9" ht="16.35" spans="1:31">
      <c r="A9" s="184">
        <v>4</v>
      </c>
      <c r="B9" s="185" t="s">
        <v>32</v>
      </c>
      <c r="C9" s="186" t="s">
        <v>33</v>
      </c>
      <c r="D9" s="187" t="s">
        <v>34</v>
      </c>
      <c r="E9" s="186">
        <v>42</v>
      </c>
      <c r="F9" s="186">
        <v>0.47</v>
      </c>
      <c r="G9" s="187" t="s">
        <v>35</v>
      </c>
      <c r="H9" s="196">
        <v>45664</v>
      </c>
      <c r="I9" s="189">
        <v>22134000</v>
      </c>
      <c r="J9" s="190">
        <v>18745000</v>
      </c>
      <c r="K9" s="191"/>
      <c r="L9" s="191"/>
      <c r="M9" s="191">
        <v>23345000</v>
      </c>
      <c r="N9" s="192">
        <v>18745000</v>
      </c>
      <c r="O9" s="193" t="s">
        <v>20</v>
      </c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</row>
    <row r="10" ht="16.35" spans="1:31">
      <c r="A10" s="184">
        <v>5</v>
      </c>
      <c r="B10" s="185" t="s">
        <v>36</v>
      </c>
      <c r="C10" s="186" t="s">
        <v>17</v>
      </c>
      <c r="D10" s="187" t="s">
        <v>37</v>
      </c>
      <c r="E10" s="186">
        <v>42</v>
      </c>
      <c r="F10" s="186">
        <v>2.5</v>
      </c>
      <c r="G10" s="187" t="s">
        <v>35</v>
      </c>
      <c r="H10" s="196">
        <v>45664</v>
      </c>
      <c r="I10" s="189">
        <v>32625000</v>
      </c>
      <c r="J10" s="190">
        <v>23855000</v>
      </c>
      <c r="K10" s="191"/>
      <c r="L10" s="191"/>
      <c r="M10" s="191">
        <v>28454000</v>
      </c>
      <c r="N10" s="192">
        <v>23855000</v>
      </c>
      <c r="O10" s="193" t="s">
        <v>20</v>
      </c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</row>
    <row r="11" ht="16.35" spans="1:31">
      <c r="A11" s="184">
        <v>6</v>
      </c>
      <c r="B11" s="185" t="s">
        <v>38</v>
      </c>
      <c r="C11" s="186" t="s">
        <v>39</v>
      </c>
      <c r="D11" s="187" t="s">
        <v>40</v>
      </c>
      <c r="E11" s="186">
        <v>42</v>
      </c>
      <c r="F11" s="186">
        <v>3.66</v>
      </c>
      <c r="G11" s="187" t="s">
        <v>35</v>
      </c>
      <c r="H11" s="196">
        <v>45664</v>
      </c>
      <c r="I11" s="189">
        <v>52382000</v>
      </c>
      <c r="J11" s="190">
        <v>40009000</v>
      </c>
      <c r="K11" s="191"/>
      <c r="L11" s="191"/>
      <c r="M11" s="191">
        <v>40009000</v>
      </c>
      <c r="N11" s="192">
        <v>40009000</v>
      </c>
      <c r="O11" s="193" t="s">
        <v>20</v>
      </c>
      <c r="P11" s="197"/>
      <c r="Q11" s="197" t="s">
        <v>41</v>
      </c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</row>
    <row r="12" ht="16.35" spans="1:31">
      <c r="A12" s="184">
        <v>7</v>
      </c>
      <c r="B12" s="185" t="s">
        <v>42</v>
      </c>
      <c r="C12" s="186" t="s">
        <v>24</v>
      </c>
      <c r="D12" s="187" t="s">
        <v>43</v>
      </c>
      <c r="E12" s="186">
        <v>42</v>
      </c>
      <c r="F12" s="186">
        <v>3.51</v>
      </c>
      <c r="G12" s="187" t="s">
        <v>35</v>
      </c>
      <c r="H12" s="196">
        <v>45664</v>
      </c>
      <c r="I12" s="189">
        <v>39678000</v>
      </c>
      <c r="J12" s="190">
        <v>28041000</v>
      </c>
      <c r="K12" s="191"/>
      <c r="L12" s="191"/>
      <c r="M12" s="191">
        <v>28041000</v>
      </c>
      <c r="N12" s="192">
        <v>28041000</v>
      </c>
      <c r="O12" s="193" t="s">
        <v>20</v>
      </c>
      <c r="P12" s="175"/>
      <c r="Q12" s="175" t="s">
        <v>44</v>
      </c>
      <c r="R12" s="175">
        <f>COUNT(A6:A580)</f>
        <v>111</v>
      </c>
      <c r="S12" s="175"/>
      <c r="T12" s="175" t="s">
        <v>45</v>
      </c>
      <c r="U12" s="175">
        <f>SUM(F:F)</f>
        <v>723.72</v>
      </c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</row>
    <row r="13" ht="16.35" spans="1:31">
      <c r="A13" s="184">
        <v>8</v>
      </c>
      <c r="B13" s="185" t="s">
        <v>46</v>
      </c>
      <c r="C13" s="186" t="s">
        <v>47</v>
      </c>
      <c r="D13" s="187" t="s">
        <v>48</v>
      </c>
      <c r="E13" s="186">
        <v>42</v>
      </c>
      <c r="F13" s="186">
        <v>6.7</v>
      </c>
      <c r="G13" s="187" t="s">
        <v>49</v>
      </c>
      <c r="H13" s="186" t="s">
        <v>50</v>
      </c>
      <c r="I13" s="189">
        <v>68538000</v>
      </c>
      <c r="J13" s="190">
        <v>60734000</v>
      </c>
      <c r="K13" s="191"/>
      <c r="L13" s="191"/>
      <c r="M13" s="191">
        <v>65082000</v>
      </c>
      <c r="N13" s="192">
        <v>60734000</v>
      </c>
      <c r="O13" s="193" t="s">
        <v>20</v>
      </c>
      <c r="P13" s="175"/>
      <c r="Q13" s="175" t="s">
        <v>51</v>
      </c>
      <c r="R13" s="175">
        <f>COUNT(N:N)</f>
        <v>39</v>
      </c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</row>
    <row r="14" ht="16.35" spans="1:31">
      <c r="A14" s="184">
        <v>9</v>
      </c>
      <c r="B14" s="185" t="s">
        <v>52</v>
      </c>
      <c r="C14" s="186" t="s">
        <v>53</v>
      </c>
      <c r="D14" s="187" t="s">
        <v>54</v>
      </c>
      <c r="E14" s="186">
        <v>42</v>
      </c>
      <c r="F14" s="186">
        <v>9.96</v>
      </c>
      <c r="G14" s="187" t="s">
        <v>49</v>
      </c>
      <c r="H14" s="186" t="s">
        <v>50</v>
      </c>
      <c r="I14" s="189">
        <v>91867000</v>
      </c>
      <c r="J14" s="198">
        <v>91737000</v>
      </c>
      <c r="K14" s="191"/>
      <c r="L14" s="191"/>
      <c r="M14" s="191">
        <v>91494000</v>
      </c>
      <c r="N14" s="192">
        <v>91737000</v>
      </c>
      <c r="O14" s="193" t="s">
        <v>20</v>
      </c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</row>
    <row r="15" ht="16.35" spans="1:31">
      <c r="A15" s="184">
        <v>10</v>
      </c>
      <c r="B15" s="185" t="s">
        <v>55</v>
      </c>
      <c r="C15" s="186" t="s">
        <v>33</v>
      </c>
      <c r="D15" s="187" t="s">
        <v>56</v>
      </c>
      <c r="E15" s="186">
        <v>42</v>
      </c>
      <c r="F15" s="186">
        <v>5.78</v>
      </c>
      <c r="G15" s="187" t="s">
        <v>49</v>
      </c>
      <c r="H15" s="186" t="s">
        <v>50</v>
      </c>
      <c r="I15" s="189">
        <v>55613000</v>
      </c>
      <c r="J15" s="190">
        <v>54335000</v>
      </c>
      <c r="K15" s="191"/>
      <c r="L15" s="191"/>
      <c r="M15" s="191">
        <v>54335000</v>
      </c>
      <c r="N15" s="192">
        <v>54335000</v>
      </c>
      <c r="O15" s="193" t="s">
        <v>20</v>
      </c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</row>
    <row r="16" ht="16.35" spans="1:31">
      <c r="A16" s="184">
        <v>11</v>
      </c>
      <c r="B16" s="185" t="s">
        <v>57</v>
      </c>
      <c r="C16" s="186" t="s">
        <v>47</v>
      </c>
      <c r="D16" s="187" t="s">
        <v>58</v>
      </c>
      <c r="E16" s="186">
        <v>42</v>
      </c>
      <c r="F16" s="186">
        <v>5.55</v>
      </c>
      <c r="G16" s="187" t="s">
        <v>49</v>
      </c>
      <c r="H16" s="186" t="s">
        <v>50</v>
      </c>
      <c r="I16" s="189">
        <v>56835000</v>
      </c>
      <c r="J16" s="199">
        <v>55095000</v>
      </c>
      <c r="K16" s="191"/>
      <c r="L16" s="191"/>
      <c r="M16" s="191">
        <v>55255000</v>
      </c>
      <c r="N16" s="192">
        <v>55095000</v>
      </c>
      <c r="O16" s="193" t="s">
        <v>20</v>
      </c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</row>
    <row r="17" ht="16.35" spans="1:31">
      <c r="A17" s="184">
        <v>12</v>
      </c>
      <c r="B17" s="185" t="s">
        <v>59</v>
      </c>
      <c r="C17" s="186" t="s">
        <v>33</v>
      </c>
      <c r="D17" s="187" t="s">
        <v>60</v>
      </c>
      <c r="E17" s="186">
        <v>42</v>
      </c>
      <c r="F17" s="186">
        <v>12.12</v>
      </c>
      <c r="G17" s="187" t="s">
        <v>49</v>
      </c>
      <c r="H17" s="186" t="s">
        <v>50</v>
      </c>
      <c r="I17" s="189">
        <v>104426000</v>
      </c>
      <c r="J17" s="189">
        <v>93075000</v>
      </c>
      <c r="K17" s="200"/>
      <c r="L17" s="200"/>
      <c r="M17" s="200">
        <v>93075000</v>
      </c>
      <c r="N17" s="192">
        <v>93075000</v>
      </c>
      <c r="O17" s="193" t="s">
        <v>20</v>
      </c>
      <c r="P17" s="175"/>
      <c r="Q17" s="201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</row>
    <row r="18" ht="16.35" spans="1:31">
      <c r="A18" s="184">
        <v>13</v>
      </c>
      <c r="B18" s="185" t="s">
        <v>61</v>
      </c>
      <c r="C18" s="186" t="s">
        <v>62</v>
      </c>
      <c r="D18" s="187" t="s">
        <v>63</v>
      </c>
      <c r="E18" s="186">
        <v>42</v>
      </c>
      <c r="F18" s="186">
        <v>8.15</v>
      </c>
      <c r="G18" s="187" t="s">
        <v>64</v>
      </c>
      <c r="H18" s="196">
        <v>45938</v>
      </c>
      <c r="I18" s="189">
        <v>90747000</v>
      </c>
      <c r="J18" s="190">
        <v>25765000</v>
      </c>
      <c r="K18" s="191"/>
      <c r="L18" s="191"/>
      <c r="M18" s="191">
        <v>25765000</v>
      </c>
      <c r="N18" s="192">
        <v>25765000</v>
      </c>
      <c r="O18" s="193" t="s">
        <v>20</v>
      </c>
      <c r="P18" s="175"/>
      <c r="Q18" s="201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</row>
    <row r="19" ht="16.35" spans="1:31">
      <c r="A19" s="184">
        <v>14</v>
      </c>
      <c r="B19" s="185" t="s">
        <v>65</v>
      </c>
      <c r="C19" s="186" t="s">
        <v>62</v>
      </c>
      <c r="D19" s="187" t="s">
        <v>66</v>
      </c>
      <c r="E19" s="186">
        <v>42</v>
      </c>
      <c r="F19" s="186">
        <v>7.25</v>
      </c>
      <c r="G19" s="187" t="s">
        <v>64</v>
      </c>
      <c r="H19" s="196">
        <v>45938</v>
      </c>
      <c r="I19" s="189">
        <v>89720000</v>
      </c>
      <c r="J19" s="189">
        <v>27867000</v>
      </c>
      <c r="K19" s="191"/>
      <c r="L19" s="191"/>
      <c r="M19" s="191">
        <v>27867000</v>
      </c>
      <c r="N19" s="192">
        <v>27867000</v>
      </c>
      <c r="O19" s="193" t="s">
        <v>20</v>
      </c>
      <c r="P19" s="175"/>
      <c r="Q19" s="201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</row>
    <row r="20" ht="16.35" spans="1:31">
      <c r="A20" s="184">
        <v>15</v>
      </c>
      <c r="B20" s="185" t="s">
        <v>67</v>
      </c>
      <c r="C20" s="186" t="s">
        <v>33</v>
      </c>
      <c r="D20" s="187" t="s">
        <v>68</v>
      </c>
      <c r="E20" s="186">
        <v>42</v>
      </c>
      <c r="F20" s="186">
        <v>3.44</v>
      </c>
      <c r="G20" s="187" t="s">
        <v>64</v>
      </c>
      <c r="H20" s="196">
        <v>45938</v>
      </c>
      <c r="I20" s="189">
        <v>35144000</v>
      </c>
      <c r="J20" s="189">
        <v>29521000</v>
      </c>
      <c r="K20" s="200"/>
      <c r="L20" s="200"/>
      <c r="M20" s="200">
        <v>29521000</v>
      </c>
      <c r="N20" s="192"/>
      <c r="O20" s="193" t="s">
        <v>69</v>
      </c>
      <c r="P20" s="175"/>
      <c r="Q20" s="201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</row>
    <row r="21" ht="15.75" customHeight="1" spans="1:31">
      <c r="A21" s="184">
        <v>16</v>
      </c>
      <c r="B21" s="185" t="s">
        <v>70</v>
      </c>
      <c r="C21" s="186" t="s">
        <v>71</v>
      </c>
      <c r="D21" s="187" t="s">
        <v>72</v>
      </c>
      <c r="E21" s="186">
        <v>42</v>
      </c>
      <c r="F21" s="186">
        <v>8.06</v>
      </c>
      <c r="G21" s="187" t="s">
        <v>64</v>
      </c>
      <c r="H21" s="196">
        <v>45938</v>
      </c>
      <c r="I21" s="189">
        <v>66709000</v>
      </c>
      <c r="J21" s="190">
        <v>62833000</v>
      </c>
      <c r="K21" s="191"/>
      <c r="L21" s="191"/>
      <c r="M21" s="191">
        <v>64554000</v>
      </c>
      <c r="N21" s="192">
        <v>62833000</v>
      </c>
      <c r="O21" s="193" t="s">
        <v>20</v>
      </c>
      <c r="P21" s="175"/>
      <c r="Q21" s="201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</row>
    <row r="22" ht="15.75" customHeight="1" spans="1:31">
      <c r="A22" s="202">
        <v>17</v>
      </c>
      <c r="B22" s="185" t="s">
        <v>73</v>
      </c>
      <c r="C22" s="186" t="s">
        <v>71</v>
      </c>
      <c r="D22" s="187" t="s">
        <v>74</v>
      </c>
      <c r="E22" s="186">
        <v>61</v>
      </c>
      <c r="F22" s="186">
        <v>4.6</v>
      </c>
      <c r="G22" s="187" t="s">
        <v>75</v>
      </c>
      <c r="H22" s="186" t="s">
        <v>76</v>
      </c>
      <c r="I22" s="189">
        <v>79564000</v>
      </c>
      <c r="J22" s="189">
        <v>76832000</v>
      </c>
      <c r="K22" s="191"/>
      <c r="L22" s="191"/>
      <c r="M22" s="191">
        <v>76832000</v>
      </c>
      <c r="N22" s="192"/>
      <c r="O22" s="193" t="s">
        <v>69</v>
      </c>
      <c r="P22" s="175"/>
      <c r="Q22" s="201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</row>
    <row r="23" ht="15.75" customHeight="1" spans="1:31">
      <c r="A23" s="202">
        <v>18</v>
      </c>
      <c r="B23" s="185" t="s">
        <v>77</v>
      </c>
      <c r="C23" s="186" t="s">
        <v>78</v>
      </c>
      <c r="D23" s="187" t="s">
        <v>79</v>
      </c>
      <c r="E23" s="186">
        <v>61</v>
      </c>
      <c r="F23" s="186">
        <v>6.06</v>
      </c>
      <c r="G23" s="187" t="s">
        <v>75</v>
      </c>
      <c r="H23" s="186" t="s">
        <v>76</v>
      </c>
      <c r="I23" s="189">
        <v>108157000</v>
      </c>
      <c r="J23" s="189">
        <v>106055000</v>
      </c>
      <c r="K23" s="191"/>
      <c r="L23" s="191"/>
      <c r="M23" s="191">
        <v>106055000</v>
      </c>
      <c r="N23" s="192"/>
      <c r="O23" s="193" t="s">
        <v>69</v>
      </c>
      <c r="P23" s="175"/>
      <c r="Q23" s="201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</row>
    <row r="24" ht="15.75" customHeight="1" spans="1:31">
      <c r="A24" s="202">
        <v>19</v>
      </c>
      <c r="B24" s="203" t="s">
        <v>80</v>
      </c>
      <c r="C24" s="186" t="s">
        <v>24</v>
      </c>
      <c r="D24" s="187" t="s">
        <v>81</v>
      </c>
      <c r="E24" s="186">
        <v>61</v>
      </c>
      <c r="F24" s="186">
        <v>0.35</v>
      </c>
      <c r="G24" s="204" t="s">
        <v>75</v>
      </c>
      <c r="H24" s="205" t="s">
        <v>76</v>
      </c>
      <c r="I24" s="189">
        <v>19665000</v>
      </c>
      <c r="J24" s="189">
        <v>26660000</v>
      </c>
      <c r="K24" s="200"/>
      <c r="L24" s="200"/>
      <c r="M24" s="200">
        <v>26660000</v>
      </c>
      <c r="N24" s="192"/>
      <c r="O24" s="193" t="s">
        <v>69</v>
      </c>
      <c r="P24" s="175"/>
      <c r="Q24" s="201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</row>
    <row r="25" ht="15.75" customHeight="1" spans="1:31">
      <c r="A25" s="202">
        <v>20</v>
      </c>
      <c r="B25" s="203" t="s">
        <v>82</v>
      </c>
      <c r="C25" s="186" t="s">
        <v>78</v>
      </c>
      <c r="D25" s="187" t="s">
        <v>83</v>
      </c>
      <c r="E25" s="186">
        <v>61</v>
      </c>
      <c r="F25" s="186">
        <v>5.27</v>
      </c>
      <c r="G25" s="204" t="s">
        <v>75</v>
      </c>
      <c r="H25" s="205" t="s">
        <v>76</v>
      </c>
      <c r="I25" s="189">
        <v>43135000</v>
      </c>
      <c r="J25" s="189">
        <v>31325000</v>
      </c>
      <c r="K25" s="191"/>
      <c r="L25" s="191"/>
      <c r="M25" s="191">
        <v>31325000</v>
      </c>
      <c r="N25" s="192">
        <v>31397000</v>
      </c>
      <c r="O25" s="193" t="s">
        <v>20</v>
      </c>
      <c r="P25" s="175"/>
      <c r="Q25" s="201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</row>
    <row r="26" ht="15.75" customHeight="1" spans="1:31">
      <c r="A26" s="184">
        <v>21</v>
      </c>
      <c r="B26" s="203" t="s">
        <v>84</v>
      </c>
      <c r="C26" s="186" t="s">
        <v>85</v>
      </c>
      <c r="D26" s="187" t="s">
        <v>86</v>
      </c>
      <c r="E26" s="186">
        <v>42</v>
      </c>
      <c r="F26" s="186">
        <v>8.82</v>
      </c>
      <c r="G26" s="206">
        <v>45754</v>
      </c>
      <c r="H26" s="205" t="s">
        <v>87</v>
      </c>
      <c r="I26" s="189">
        <v>72944000</v>
      </c>
      <c r="J26" s="189">
        <v>74917000</v>
      </c>
      <c r="K26" s="191"/>
      <c r="L26" s="191"/>
      <c r="M26" s="191">
        <v>74917000</v>
      </c>
      <c r="N26" s="192"/>
      <c r="O26" s="193" t="s">
        <v>69</v>
      </c>
      <c r="P26" s="175"/>
      <c r="Q26" s="201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</row>
    <row r="27" ht="15.75" customHeight="1" spans="1:31">
      <c r="A27" s="184">
        <v>22</v>
      </c>
      <c r="B27" s="203" t="s">
        <v>88</v>
      </c>
      <c r="C27" s="186" t="s">
        <v>85</v>
      </c>
      <c r="D27" s="187" t="s">
        <v>89</v>
      </c>
      <c r="E27" s="186">
        <v>42</v>
      </c>
      <c r="F27" s="186">
        <v>7.66</v>
      </c>
      <c r="G27" s="206">
        <v>45754</v>
      </c>
      <c r="H27" s="205" t="s">
        <v>87</v>
      </c>
      <c r="I27" s="189">
        <v>69483000</v>
      </c>
      <c r="J27" s="207">
        <v>73673000</v>
      </c>
      <c r="K27" s="191"/>
      <c r="L27" s="191"/>
      <c r="M27" s="191">
        <v>73697000</v>
      </c>
      <c r="N27" s="192"/>
      <c r="O27" s="193" t="s">
        <v>69</v>
      </c>
      <c r="P27" s="175"/>
      <c r="Q27" s="201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</row>
    <row r="28" ht="15.75" customHeight="1" spans="1:31">
      <c r="A28" s="184">
        <v>23</v>
      </c>
      <c r="B28" s="203" t="s">
        <v>90</v>
      </c>
      <c r="C28" s="186" t="s">
        <v>91</v>
      </c>
      <c r="D28" s="187" t="s">
        <v>92</v>
      </c>
      <c r="E28" s="186">
        <v>42</v>
      </c>
      <c r="F28" s="186">
        <v>8.15</v>
      </c>
      <c r="G28" s="206">
        <v>45754</v>
      </c>
      <c r="H28" s="205" t="s">
        <v>87</v>
      </c>
      <c r="I28" s="189">
        <v>66678000</v>
      </c>
      <c r="J28" s="189">
        <v>71885000</v>
      </c>
      <c r="K28" s="191"/>
      <c r="L28" s="191"/>
      <c r="M28" s="191">
        <v>71885000</v>
      </c>
      <c r="N28" s="192"/>
      <c r="O28" s="193" t="s">
        <v>69</v>
      </c>
      <c r="P28" s="175"/>
      <c r="Q28" s="201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</row>
    <row r="29" ht="15.75" customHeight="1" spans="1:31">
      <c r="A29" s="184">
        <v>24</v>
      </c>
      <c r="B29" s="203" t="s">
        <v>93</v>
      </c>
      <c r="C29" s="186" t="s">
        <v>91</v>
      </c>
      <c r="D29" s="187" t="s">
        <v>94</v>
      </c>
      <c r="E29" s="186">
        <v>42</v>
      </c>
      <c r="F29" s="186">
        <v>10.63</v>
      </c>
      <c r="G29" s="206">
        <v>45754</v>
      </c>
      <c r="H29" s="205" t="s">
        <v>87</v>
      </c>
      <c r="I29" s="189">
        <v>98641000</v>
      </c>
      <c r="J29" s="189">
        <v>97111000</v>
      </c>
      <c r="K29" s="191"/>
      <c r="L29" s="191"/>
      <c r="M29" s="191">
        <v>97111000</v>
      </c>
      <c r="N29" s="192">
        <v>97111000</v>
      </c>
      <c r="O29" s="193" t="s">
        <v>20</v>
      </c>
      <c r="P29" s="175"/>
      <c r="Q29" s="201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</row>
    <row r="30" ht="15.75" customHeight="1" spans="1:31">
      <c r="A30" s="184">
        <v>25</v>
      </c>
      <c r="B30" s="203" t="s">
        <v>95</v>
      </c>
      <c r="C30" s="186" t="s">
        <v>24</v>
      </c>
      <c r="D30" s="187" t="s">
        <v>96</v>
      </c>
      <c r="E30" s="186">
        <v>42</v>
      </c>
      <c r="F30" s="186">
        <v>3.75</v>
      </c>
      <c r="G30" s="206">
        <v>45968</v>
      </c>
      <c r="H30" s="205" t="s">
        <v>97</v>
      </c>
      <c r="I30" s="189">
        <v>44800000</v>
      </c>
      <c r="J30" s="190">
        <v>6148000</v>
      </c>
      <c r="K30" s="191"/>
      <c r="L30" s="191"/>
      <c r="M30" s="191">
        <v>9190000</v>
      </c>
      <c r="N30" s="192">
        <v>6148000</v>
      </c>
      <c r="O30" s="193" t="s">
        <v>20</v>
      </c>
      <c r="P30" s="175"/>
      <c r="Q30" s="201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</row>
    <row r="31" ht="15.75" customHeight="1" spans="1:31">
      <c r="A31" s="184">
        <v>26</v>
      </c>
      <c r="B31" s="203" t="s">
        <v>98</v>
      </c>
      <c r="C31" s="186" t="s">
        <v>24</v>
      </c>
      <c r="D31" s="187" t="s">
        <v>99</v>
      </c>
      <c r="E31" s="186">
        <v>42</v>
      </c>
      <c r="F31" s="186">
        <v>7.3</v>
      </c>
      <c r="G31" s="206">
        <v>45968</v>
      </c>
      <c r="H31" s="205" t="s">
        <v>97</v>
      </c>
      <c r="I31" s="189">
        <v>64697000</v>
      </c>
      <c r="J31" s="189">
        <v>63862000</v>
      </c>
      <c r="K31" s="191"/>
      <c r="L31" s="191"/>
      <c r="M31" s="191">
        <v>63862000</v>
      </c>
      <c r="N31" s="192">
        <v>63862000</v>
      </c>
      <c r="O31" s="193" t="s">
        <v>20</v>
      </c>
      <c r="P31" s="175"/>
      <c r="Q31" s="201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</row>
    <row r="32" ht="15.75" customHeight="1" spans="1:31">
      <c r="A32" s="184">
        <v>27</v>
      </c>
      <c r="B32" s="203" t="s">
        <v>100</v>
      </c>
      <c r="C32" s="186" t="s">
        <v>24</v>
      </c>
      <c r="D32" s="187" t="s">
        <v>101</v>
      </c>
      <c r="E32" s="186">
        <v>42</v>
      </c>
      <c r="F32" s="186">
        <v>2.85</v>
      </c>
      <c r="G32" s="206">
        <v>45968</v>
      </c>
      <c r="H32" s="205" t="s">
        <v>97</v>
      </c>
      <c r="I32" s="189">
        <v>40565000</v>
      </c>
      <c r="J32" s="208">
        <v>5529000</v>
      </c>
      <c r="K32" s="191"/>
      <c r="L32" s="191"/>
      <c r="M32" s="191">
        <v>8180123</v>
      </c>
      <c r="N32" s="192">
        <v>5529000</v>
      </c>
      <c r="O32" s="193" t="s">
        <v>20</v>
      </c>
      <c r="P32" s="175"/>
      <c r="Q32" s="201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</row>
    <row r="33" ht="15.75" customHeight="1" spans="1:31">
      <c r="A33" s="184">
        <v>28</v>
      </c>
      <c r="B33" s="203" t="s">
        <v>102</v>
      </c>
      <c r="C33" s="186" t="s">
        <v>24</v>
      </c>
      <c r="D33" s="187" t="s">
        <v>103</v>
      </c>
      <c r="E33" s="186">
        <v>42</v>
      </c>
      <c r="F33" s="186">
        <v>3.75</v>
      </c>
      <c r="G33" s="206">
        <v>45968</v>
      </c>
      <c r="H33" s="205" t="s">
        <v>97</v>
      </c>
      <c r="I33" s="189">
        <v>36763000</v>
      </c>
      <c r="J33" s="189">
        <v>34404000</v>
      </c>
      <c r="K33" s="191"/>
      <c r="L33" s="191"/>
      <c r="M33" s="191">
        <v>31204000</v>
      </c>
      <c r="N33" s="192">
        <v>31204000</v>
      </c>
      <c r="O33" s="193" t="s">
        <v>20</v>
      </c>
      <c r="P33" s="175"/>
      <c r="Q33" s="201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</row>
    <row r="34" ht="15.75" customHeight="1" spans="1:31">
      <c r="A34" s="184">
        <v>29</v>
      </c>
      <c r="B34" s="209" t="s">
        <v>104</v>
      </c>
      <c r="C34" s="186" t="s">
        <v>105</v>
      </c>
      <c r="D34" s="187" t="s">
        <v>106</v>
      </c>
      <c r="E34" s="186">
        <v>92</v>
      </c>
      <c r="F34" s="186">
        <v>43.55</v>
      </c>
      <c r="G34" s="204" t="s">
        <v>107</v>
      </c>
      <c r="H34" s="205" t="s">
        <v>108</v>
      </c>
      <c r="I34" s="189">
        <v>283360000</v>
      </c>
      <c r="J34" s="189">
        <v>277062000</v>
      </c>
      <c r="K34" s="191"/>
      <c r="L34" s="191"/>
      <c r="M34" s="191">
        <v>277062000</v>
      </c>
      <c r="N34" s="192">
        <v>271820000</v>
      </c>
      <c r="O34" s="193" t="s">
        <v>20</v>
      </c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</row>
    <row r="35" ht="15.75" customHeight="1" spans="1:31">
      <c r="A35" s="184">
        <v>30</v>
      </c>
      <c r="B35" s="209" t="s">
        <v>109</v>
      </c>
      <c r="C35" s="186" t="s">
        <v>29</v>
      </c>
      <c r="D35" s="187" t="s">
        <v>110</v>
      </c>
      <c r="E35" s="186">
        <v>42</v>
      </c>
      <c r="F35" s="186">
        <v>5.3</v>
      </c>
      <c r="G35" s="204" t="s">
        <v>111</v>
      </c>
      <c r="H35" s="210">
        <v>45847</v>
      </c>
      <c r="I35" s="189">
        <v>50971000</v>
      </c>
      <c r="J35" s="189">
        <v>56256000</v>
      </c>
      <c r="K35" s="191"/>
      <c r="L35" s="191"/>
      <c r="M35" s="191">
        <v>56324000</v>
      </c>
      <c r="N35" s="192">
        <v>56256000</v>
      </c>
      <c r="O35" s="193" t="s">
        <v>20</v>
      </c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</row>
    <row r="36" ht="15.75" customHeight="1" spans="1:31">
      <c r="A36" s="202">
        <v>31</v>
      </c>
      <c r="B36" s="209" t="s">
        <v>112</v>
      </c>
      <c r="C36" s="186" t="s">
        <v>29</v>
      </c>
      <c r="D36" s="187" t="s">
        <v>113</v>
      </c>
      <c r="E36" s="186">
        <v>62</v>
      </c>
      <c r="F36" s="186">
        <v>4.23</v>
      </c>
      <c r="G36" s="204" t="s">
        <v>114</v>
      </c>
      <c r="H36" s="205" t="s">
        <v>115</v>
      </c>
      <c r="I36" s="189">
        <v>40934000</v>
      </c>
      <c r="J36" s="207">
        <v>34719000</v>
      </c>
      <c r="K36" s="191"/>
      <c r="L36" s="191"/>
      <c r="M36" s="191">
        <v>34719000</v>
      </c>
      <c r="N36" s="192"/>
      <c r="O36" s="193" t="s">
        <v>69</v>
      </c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</row>
    <row r="37" ht="15.75" customHeight="1" spans="1:31">
      <c r="A37" s="184">
        <v>32</v>
      </c>
      <c r="B37" s="209" t="s">
        <v>116</v>
      </c>
      <c r="C37" s="186" t="s">
        <v>117</v>
      </c>
      <c r="D37" s="187" t="s">
        <v>118</v>
      </c>
      <c r="E37" s="186">
        <v>42</v>
      </c>
      <c r="F37" s="186">
        <v>9.63</v>
      </c>
      <c r="G37" s="206">
        <v>45879</v>
      </c>
      <c r="H37" s="205" t="s">
        <v>119</v>
      </c>
      <c r="I37" s="189">
        <v>83914000</v>
      </c>
      <c r="J37" s="207">
        <v>83172000</v>
      </c>
      <c r="K37" s="191"/>
      <c r="L37" s="191"/>
      <c r="M37" s="191">
        <v>83136000</v>
      </c>
      <c r="N37" s="192">
        <v>83172000</v>
      </c>
      <c r="O37" s="193" t="s">
        <v>20</v>
      </c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</row>
    <row r="38" ht="15.75" customHeight="1" spans="1:31">
      <c r="A38" s="184">
        <v>33</v>
      </c>
      <c r="B38" s="209" t="s">
        <v>120</v>
      </c>
      <c r="C38" s="186" t="s">
        <v>78</v>
      </c>
      <c r="D38" s="187" t="s">
        <v>121</v>
      </c>
      <c r="E38" s="186">
        <v>42</v>
      </c>
      <c r="F38" s="186">
        <v>4.24</v>
      </c>
      <c r="G38" s="206">
        <v>45879</v>
      </c>
      <c r="H38" s="205" t="s">
        <v>119</v>
      </c>
      <c r="I38" s="189">
        <v>50504000</v>
      </c>
      <c r="J38" s="208">
        <v>47548000</v>
      </c>
      <c r="K38" s="191"/>
      <c r="L38" s="191"/>
      <c r="M38" s="191">
        <v>47548000</v>
      </c>
      <c r="N38" s="192">
        <v>47548000</v>
      </c>
      <c r="O38" s="193" t="s">
        <v>20</v>
      </c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</row>
    <row r="39" ht="15.75" customHeight="1" spans="1:31">
      <c r="A39" s="184">
        <v>34</v>
      </c>
      <c r="B39" s="209" t="s">
        <v>122</v>
      </c>
      <c r="C39" s="186" t="s">
        <v>24</v>
      </c>
      <c r="D39" s="187" t="s">
        <v>123</v>
      </c>
      <c r="E39" s="186">
        <v>42</v>
      </c>
      <c r="F39" s="186">
        <v>6.74</v>
      </c>
      <c r="G39" s="206">
        <v>45879</v>
      </c>
      <c r="H39" s="205" t="s">
        <v>119</v>
      </c>
      <c r="I39" s="189">
        <v>46130000</v>
      </c>
      <c r="J39" s="208">
        <v>54647000</v>
      </c>
      <c r="K39" s="191"/>
      <c r="L39" s="191"/>
      <c r="M39" s="191">
        <v>54647000</v>
      </c>
      <c r="N39" s="192">
        <v>54647000</v>
      </c>
      <c r="O39" s="193" t="s">
        <v>20</v>
      </c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</row>
    <row r="40" ht="15.75" customHeight="1" spans="1:31">
      <c r="A40" s="211">
        <v>35</v>
      </c>
      <c r="B40" s="212" t="s">
        <v>124</v>
      </c>
      <c r="C40" s="213" t="s">
        <v>125</v>
      </c>
      <c r="D40" s="214" t="s">
        <v>126</v>
      </c>
      <c r="E40" s="213">
        <v>14</v>
      </c>
      <c r="F40" s="213">
        <v>0</v>
      </c>
      <c r="G40" s="215">
        <v>45940</v>
      </c>
      <c r="H40" s="216" t="s">
        <v>127</v>
      </c>
      <c r="I40" s="217">
        <v>38051000</v>
      </c>
      <c r="J40" s="217">
        <v>26972000</v>
      </c>
      <c r="K40" s="200"/>
      <c r="L40" s="200"/>
      <c r="M40" s="200">
        <v>26972000</v>
      </c>
      <c r="N40" s="192">
        <v>26972000</v>
      </c>
      <c r="O40" s="193" t="s">
        <v>20</v>
      </c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</row>
    <row r="41" ht="15.75" customHeight="1" spans="1:31">
      <c r="A41" s="184">
        <v>36</v>
      </c>
      <c r="B41" s="209" t="s">
        <v>128</v>
      </c>
      <c r="C41" s="186" t="s">
        <v>47</v>
      </c>
      <c r="D41" s="187" t="s">
        <v>129</v>
      </c>
      <c r="E41" s="186">
        <v>42</v>
      </c>
      <c r="F41" s="186">
        <v>6.31</v>
      </c>
      <c r="G41" s="206">
        <v>45879</v>
      </c>
      <c r="H41" s="205" t="s">
        <v>119</v>
      </c>
      <c r="I41" s="189">
        <v>59641000</v>
      </c>
      <c r="J41" s="189">
        <v>59881000</v>
      </c>
      <c r="K41" s="191"/>
      <c r="L41" s="191"/>
      <c r="M41" s="191">
        <v>59881000</v>
      </c>
      <c r="N41" s="192"/>
      <c r="O41" s="193" t="s">
        <v>69</v>
      </c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</row>
    <row r="42" ht="15.75" customHeight="1" spans="1:31">
      <c r="A42" s="184">
        <v>37</v>
      </c>
      <c r="B42" s="218" t="s">
        <v>130</v>
      </c>
      <c r="C42" s="186" t="s">
        <v>131</v>
      </c>
      <c r="D42" s="187" t="s">
        <v>132</v>
      </c>
      <c r="E42" s="186">
        <v>42</v>
      </c>
      <c r="F42" s="186">
        <v>12.09</v>
      </c>
      <c r="G42" s="206">
        <v>45879</v>
      </c>
      <c r="H42" s="205" t="s">
        <v>119</v>
      </c>
      <c r="I42" s="189">
        <v>126365000</v>
      </c>
      <c r="J42" s="207">
        <v>71506000</v>
      </c>
      <c r="K42" s="193"/>
      <c r="L42" s="193"/>
      <c r="M42" s="193"/>
      <c r="N42" s="192"/>
      <c r="O42" s="193" t="s">
        <v>69</v>
      </c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</row>
    <row r="43" ht="15.75" customHeight="1" spans="1:31">
      <c r="A43" s="184">
        <v>38</v>
      </c>
      <c r="B43" s="209" t="s">
        <v>133</v>
      </c>
      <c r="C43" s="186" t="s">
        <v>29</v>
      </c>
      <c r="D43" s="187" t="s">
        <v>134</v>
      </c>
      <c r="E43" s="186">
        <v>42</v>
      </c>
      <c r="F43" s="186">
        <v>14.78</v>
      </c>
      <c r="G43" s="206">
        <v>45940</v>
      </c>
      <c r="H43" s="205" t="s">
        <v>135</v>
      </c>
      <c r="I43" s="189">
        <v>145270000</v>
      </c>
      <c r="J43" s="189">
        <v>129444000</v>
      </c>
      <c r="K43" s="191"/>
      <c r="L43" s="191"/>
      <c r="M43" s="191">
        <v>129444000</v>
      </c>
      <c r="N43" s="192"/>
      <c r="O43" s="193" t="s">
        <v>69</v>
      </c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</row>
    <row r="44" ht="15.75" customHeight="1" spans="1:31">
      <c r="A44" s="184">
        <v>39</v>
      </c>
      <c r="B44" s="209" t="s">
        <v>136</v>
      </c>
      <c r="C44" s="186" t="s">
        <v>137</v>
      </c>
      <c r="D44" s="187" t="s">
        <v>138</v>
      </c>
      <c r="E44" s="186">
        <v>42</v>
      </c>
      <c r="F44" s="186">
        <v>9.7</v>
      </c>
      <c r="G44" s="206">
        <v>45940</v>
      </c>
      <c r="H44" s="205" t="s">
        <v>135</v>
      </c>
      <c r="I44" s="189">
        <v>70604000</v>
      </c>
      <c r="J44" s="198">
        <v>47139000</v>
      </c>
      <c r="K44" s="191"/>
      <c r="L44" s="191"/>
      <c r="M44" s="191">
        <v>32953000</v>
      </c>
      <c r="N44" s="192">
        <v>47139000</v>
      </c>
      <c r="O44" s="193" t="s">
        <v>20</v>
      </c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</row>
    <row r="45" ht="15.75" customHeight="1" spans="1:31">
      <c r="A45" s="184">
        <v>40</v>
      </c>
      <c r="B45" s="209" t="s">
        <v>139</v>
      </c>
      <c r="C45" s="186" t="s">
        <v>140</v>
      </c>
      <c r="D45" s="187" t="s">
        <v>141</v>
      </c>
      <c r="E45" s="186">
        <v>42</v>
      </c>
      <c r="F45" s="186">
        <v>7.75</v>
      </c>
      <c r="G45" s="206">
        <v>45940</v>
      </c>
      <c r="H45" s="205" t="s">
        <v>135</v>
      </c>
      <c r="I45" s="189">
        <v>64794000</v>
      </c>
      <c r="J45" s="198">
        <v>64277000</v>
      </c>
      <c r="K45" s="191"/>
      <c r="L45" s="191"/>
      <c r="M45" s="191">
        <v>64277000</v>
      </c>
      <c r="N45" s="192">
        <v>64277000</v>
      </c>
      <c r="O45" s="193" t="s">
        <v>20</v>
      </c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</row>
    <row r="46" ht="15.75" customHeight="1" spans="1:31">
      <c r="A46" s="184">
        <v>41</v>
      </c>
      <c r="B46" s="209" t="s">
        <v>142</v>
      </c>
      <c r="C46" s="186" t="s">
        <v>53</v>
      </c>
      <c r="D46" s="187" t="s">
        <v>143</v>
      </c>
      <c r="E46" s="186">
        <v>42</v>
      </c>
      <c r="F46" s="186">
        <v>10.31</v>
      </c>
      <c r="G46" s="206">
        <v>45940</v>
      </c>
      <c r="H46" s="205" t="s">
        <v>135</v>
      </c>
      <c r="I46" s="189">
        <v>93566000</v>
      </c>
      <c r="J46" s="198">
        <v>84654000</v>
      </c>
      <c r="K46" s="191"/>
      <c r="L46" s="191"/>
      <c r="M46" s="191">
        <v>84883000</v>
      </c>
      <c r="N46" s="192"/>
      <c r="O46" s="193" t="s">
        <v>69</v>
      </c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  <c r="AB46" s="175"/>
      <c r="AC46" s="175"/>
      <c r="AD46" s="175"/>
      <c r="AE46" s="175"/>
    </row>
    <row r="47" ht="15.75" customHeight="1" spans="1:31">
      <c r="A47" s="202">
        <v>42</v>
      </c>
      <c r="B47" s="203" t="s">
        <v>144</v>
      </c>
      <c r="C47" s="186" t="s">
        <v>145</v>
      </c>
      <c r="D47" s="187" t="s">
        <v>146</v>
      </c>
      <c r="E47" s="186">
        <v>42</v>
      </c>
      <c r="F47" s="186">
        <v>1.98</v>
      </c>
      <c r="G47" s="206">
        <v>45849</v>
      </c>
      <c r="H47" s="205" t="s">
        <v>147</v>
      </c>
      <c r="I47" s="189">
        <v>34336000</v>
      </c>
      <c r="J47" s="208">
        <v>31003000</v>
      </c>
      <c r="K47" s="191"/>
      <c r="L47" s="191"/>
      <c r="M47" s="191">
        <v>30774000</v>
      </c>
      <c r="N47" s="192">
        <v>31003000</v>
      </c>
      <c r="O47" s="193" t="s">
        <v>20</v>
      </c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</row>
    <row r="48" ht="15.75" customHeight="1" spans="1:31">
      <c r="A48" s="184">
        <v>43</v>
      </c>
      <c r="B48" s="203" t="s">
        <v>148</v>
      </c>
      <c r="C48" s="186" t="s">
        <v>78</v>
      </c>
      <c r="D48" s="187" t="s">
        <v>149</v>
      </c>
      <c r="E48" s="186">
        <v>37</v>
      </c>
      <c r="F48" s="186">
        <v>2.65</v>
      </c>
      <c r="G48" s="206">
        <v>45849</v>
      </c>
      <c r="H48" s="205" t="s">
        <v>150</v>
      </c>
      <c r="I48" s="189">
        <v>36351000</v>
      </c>
      <c r="J48" s="199">
        <v>35466000</v>
      </c>
      <c r="K48" s="191"/>
      <c r="L48" s="191"/>
      <c r="M48" s="191">
        <v>35466000</v>
      </c>
      <c r="N48" s="192">
        <v>35466000</v>
      </c>
      <c r="O48" s="193" t="s">
        <v>20</v>
      </c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</row>
    <row r="49" ht="15.75" customHeight="1" spans="1:31">
      <c r="A49" s="184">
        <v>44</v>
      </c>
      <c r="B49" s="203" t="s">
        <v>151</v>
      </c>
      <c r="C49" s="186" t="s">
        <v>71</v>
      </c>
      <c r="D49" s="187" t="s">
        <v>152</v>
      </c>
      <c r="E49" s="186">
        <v>31</v>
      </c>
      <c r="F49" s="186">
        <v>2.35</v>
      </c>
      <c r="G49" s="206">
        <v>45849</v>
      </c>
      <c r="H49" s="210">
        <v>45850</v>
      </c>
      <c r="I49" s="189">
        <v>34304000</v>
      </c>
      <c r="J49" s="208">
        <v>33559000</v>
      </c>
      <c r="K49" s="200"/>
      <c r="L49" s="200"/>
      <c r="M49" s="200">
        <v>33559000</v>
      </c>
      <c r="N49" s="192">
        <v>33559000</v>
      </c>
      <c r="O49" s="193" t="s">
        <v>20</v>
      </c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</row>
    <row r="50" ht="15.75" customHeight="1" spans="1:31">
      <c r="A50" s="184">
        <v>45</v>
      </c>
      <c r="B50" s="203" t="s">
        <v>153</v>
      </c>
      <c r="C50" s="186" t="s">
        <v>154</v>
      </c>
      <c r="D50" s="187" t="s">
        <v>155</v>
      </c>
      <c r="E50" s="186">
        <v>31</v>
      </c>
      <c r="F50" s="186">
        <v>6.59</v>
      </c>
      <c r="G50" s="206">
        <v>45849</v>
      </c>
      <c r="H50" s="210">
        <v>45850</v>
      </c>
      <c r="I50" s="189">
        <v>66160000</v>
      </c>
      <c r="J50" s="189">
        <v>54576000</v>
      </c>
      <c r="K50" s="191"/>
      <c r="L50" s="191"/>
      <c r="M50" s="191">
        <v>54576000</v>
      </c>
      <c r="N50" s="192">
        <v>54576000</v>
      </c>
      <c r="O50" s="193" t="s">
        <v>20</v>
      </c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</row>
    <row r="51" ht="15.75" customHeight="1" spans="1:31">
      <c r="A51" s="184">
        <v>46</v>
      </c>
      <c r="B51" s="203" t="s">
        <v>156</v>
      </c>
      <c r="C51" s="186" t="s">
        <v>154</v>
      </c>
      <c r="D51" s="187" t="s">
        <v>157</v>
      </c>
      <c r="E51" s="186">
        <v>37</v>
      </c>
      <c r="F51" s="186">
        <v>7.46</v>
      </c>
      <c r="G51" s="206">
        <v>45849</v>
      </c>
      <c r="H51" s="205" t="s">
        <v>150</v>
      </c>
      <c r="I51" s="189">
        <v>70688000</v>
      </c>
      <c r="J51" s="207">
        <v>67197000</v>
      </c>
      <c r="K51" s="191"/>
      <c r="L51" s="191"/>
      <c r="M51" s="191">
        <v>67883000</v>
      </c>
      <c r="N51" s="192">
        <v>67197000</v>
      </c>
      <c r="O51" s="193" t="s">
        <v>20</v>
      </c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</row>
    <row r="52" ht="15.75" customHeight="1" spans="1:31">
      <c r="A52" s="202">
        <v>47</v>
      </c>
      <c r="B52" s="203" t="s">
        <v>158</v>
      </c>
      <c r="C52" s="186" t="s">
        <v>159</v>
      </c>
      <c r="D52" s="187" t="s">
        <v>160</v>
      </c>
      <c r="E52" s="186">
        <v>60</v>
      </c>
      <c r="F52" s="186">
        <v>9.12</v>
      </c>
      <c r="G52" s="204" t="s">
        <v>161</v>
      </c>
      <c r="H52" s="205" t="s">
        <v>162</v>
      </c>
      <c r="I52" s="189">
        <v>135468000</v>
      </c>
      <c r="J52" s="207">
        <v>125074000</v>
      </c>
      <c r="K52" s="191"/>
      <c r="L52" s="191"/>
      <c r="M52" s="191">
        <v>125074000</v>
      </c>
      <c r="N52" s="192"/>
      <c r="O52" s="193" t="s">
        <v>69</v>
      </c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</row>
    <row r="53" ht="15.75" customHeight="1" spans="1:31">
      <c r="A53" s="202">
        <v>48</v>
      </c>
      <c r="B53" s="203" t="s">
        <v>163</v>
      </c>
      <c r="C53" s="186" t="s">
        <v>159</v>
      </c>
      <c r="D53" s="187" t="s">
        <v>164</v>
      </c>
      <c r="E53" s="186">
        <v>60</v>
      </c>
      <c r="F53" s="186">
        <v>9.79</v>
      </c>
      <c r="G53" s="204" t="s">
        <v>161</v>
      </c>
      <c r="H53" s="205" t="s">
        <v>162</v>
      </c>
      <c r="I53" s="189">
        <v>125278000</v>
      </c>
      <c r="J53" s="207">
        <v>95250000</v>
      </c>
      <c r="K53" s="191"/>
      <c r="L53" s="191"/>
      <c r="M53" s="191">
        <v>92578000</v>
      </c>
      <c r="N53" s="192"/>
      <c r="O53" s="193" t="s">
        <v>69</v>
      </c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</row>
    <row r="54" ht="15.75" customHeight="1" spans="1:31">
      <c r="A54" s="211">
        <v>49</v>
      </c>
      <c r="B54" s="212" t="s">
        <v>165</v>
      </c>
      <c r="C54" s="213" t="s">
        <v>29</v>
      </c>
      <c r="D54" s="214" t="s">
        <v>166</v>
      </c>
      <c r="E54" s="213">
        <v>4</v>
      </c>
      <c r="F54" s="213">
        <v>0</v>
      </c>
      <c r="G54" s="215">
        <v>45669</v>
      </c>
      <c r="H54" s="219">
        <v>45759</v>
      </c>
      <c r="I54" s="217">
        <v>12553000</v>
      </c>
      <c r="J54" s="217">
        <v>14682000</v>
      </c>
      <c r="K54" s="193"/>
      <c r="L54" s="193"/>
      <c r="M54" s="193"/>
      <c r="N54" s="192"/>
      <c r="O54" s="193" t="s">
        <v>69</v>
      </c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</row>
    <row r="55" ht="15.75" customHeight="1" spans="1:31">
      <c r="A55" s="211">
        <v>50</v>
      </c>
      <c r="B55" s="212" t="s">
        <v>167</v>
      </c>
      <c r="C55" s="213" t="s">
        <v>29</v>
      </c>
      <c r="D55" s="214" t="s">
        <v>168</v>
      </c>
      <c r="E55" s="213">
        <v>4</v>
      </c>
      <c r="F55" s="213">
        <v>0</v>
      </c>
      <c r="G55" s="215">
        <v>45669</v>
      </c>
      <c r="H55" s="219">
        <v>45759</v>
      </c>
      <c r="I55" s="217">
        <v>36364000</v>
      </c>
      <c r="J55" s="217">
        <v>24629000</v>
      </c>
      <c r="K55" s="191"/>
      <c r="L55" s="191"/>
      <c r="M55" s="191">
        <v>24629000</v>
      </c>
      <c r="N55" s="192">
        <v>20560000</v>
      </c>
      <c r="O55" s="193" t="s">
        <v>20</v>
      </c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</row>
    <row r="56" ht="15.75" customHeight="1" spans="1:31">
      <c r="A56" s="184">
        <v>51</v>
      </c>
      <c r="B56" s="203" t="s">
        <v>169</v>
      </c>
      <c r="C56" s="186" t="s">
        <v>24</v>
      </c>
      <c r="D56" s="187" t="s">
        <v>170</v>
      </c>
      <c r="E56" s="186">
        <v>14</v>
      </c>
      <c r="F56" s="186">
        <v>0</v>
      </c>
      <c r="G56" s="204" t="s">
        <v>171</v>
      </c>
      <c r="H56" s="210">
        <v>45759</v>
      </c>
      <c r="I56" s="189">
        <v>17840000</v>
      </c>
      <c r="J56" s="207">
        <v>11866000</v>
      </c>
      <c r="K56" s="191"/>
      <c r="L56" s="191"/>
      <c r="M56" s="191">
        <v>15977000</v>
      </c>
      <c r="N56" s="192">
        <v>11866000</v>
      </c>
      <c r="O56" s="193" t="s">
        <v>20</v>
      </c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</row>
    <row r="57" ht="15.75" customHeight="1" spans="1:31">
      <c r="A57" s="184">
        <v>52</v>
      </c>
      <c r="B57" s="203" t="s">
        <v>172</v>
      </c>
      <c r="C57" s="186" t="s">
        <v>159</v>
      </c>
      <c r="D57" s="187" t="s">
        <v>173</v>
      </c>
      <c r="E57" s="186">
        <v>28</v>
      </c>
      <c r="F57" s="186">
        <v>7.94</v>
      </c>
      <c r="G57" s="204" t="s">
        <v>171</v>
      </c>
      <c r="H57" s="205" t="s">
        <v>147</v>
      </c>
      <c r="I57" s="189">
        <v>68252000</v>
      </c>
      <c r="J57" s="207">
        <v>65604000</v>
      </c>
      <c r="K57" s="191"/>
      <c r="L57" s="191"/>
      <c r="M57" s="191">
        <v>65604000</v>
      </c>
      <c r="N57" s="192"/>
      <c r="O57" s="193" t="s">
        <v>69</v>
      </c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</row>
    <row r="58" ht="15.75" customHeight="1" spans="1:31">
      <c r="A58" s="184">
        <v>53</v>
      </c>
      <c r="B58" s="203" t="s">
        <v>174</v>
      </c>
      <c r="C58" s="186" t="s">
        <v>159</v>
      </c>
      <c r="D58" s="187" t="s">
        <v>175</v>
      </c>
      <c r="E58" s="186">
        <v>28</v>
      </c>
      <c r="F58" s="186">
        <v>10.57</v>
      </c>
      <c r="G58" s="204" t="s">
        <v>171</v>
      </c>
      <c r="H58" s="205" t="s">
        <v>147</v>
      </c>
      <c r="I58" s="189">
        <v>99703000</v>
      </c>
      <c r="J58" s="207">
        <v>92578000</v>
      </c>
      <c r="K58" s="191"/>
      <c r="L58" s="191"/>
      <c r="M58" s="191">
        <v>95205000</v>
      </c>
      <c r="N58" s="192">
        <v>92578000</v>
      </c>
      <c r="O58" s="193" t="s">
        <v>20</v>
      </c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</row>
    <row r="59" ht="15.75" customHeight="1" spans="1:31">
      <c r="A59" s="184">
        <v>54</v>
      </c>
      <c r="B59" s="203" t="s">
        <v>176</v>
      </c>
      <c r="C59" s="186" t="s">
        <v>24</v>
      </c>
      <c r="D59" s="187" t="s">
        <v>177</v>
      </c>
      <c r="E59" s="186">
        <v>28</v>
      </c>
      <c r="F59" s="186">
        <v>2.8</v>
      </c>
      <c r="G59" s="204" t="s">
        <v>171</v>
      </c>
      <c r="H59" s="205" t="s">
        <v>147</v>
      </c>
      <c r="I59" s="189">
        <v>41572000</v>
      </c>
      <c r="J59" s="189">
        <v>36441000</v>
      </c>
      <c r="K59" s="191"/>
      <c r="L59" s="191"/>
      <c r="M59" s="191">
        <v>36441000</v>
      </c>
      <c r="N59" s="192"/>
      <c r="O59" s="193" t="s">
        <v>69</v>
      </c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</row>
    <row r="60" ht="15.75" customHeight="1" spans="1:31">
      <c r="A60" s="184">
        <v>55</v>
      </c>
      <c r="B60" s="203" t="s">
        <v>178</v>
      </c>
      <c r="C60" s="186" t="s">
        <v>137</v>
      </c>
      <c r="D60" s="187" t="s">
        <v>179</v>
      </c>
      <c r="E60" s="186">
        <v>42</v>
      </c>
      <c r="F60" s="186">
        <v>6.29</v>
      </c>
      <c r="G60" s="204" t="s">
        <v>171</v>
      </c>
      <c r="H60" s="210">
        <v>46023</v>
      </c>
      <c r="I60" s="189">
        <v>71105000</v>
      </c>
      <c r="J60" s="189">
        <v>63883000</v>
      </c>
      <c r="K60" s="191"/>
      <c r="L60" s="191"/>
      <c r="M60" s="191">
        <v>63883000</v>
      </c>
      <c r="N60" s="192"/>
      <c r="O60" s="193" t="s">
        <v>69</v>
      </c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</row>
    <row r="61" ht="15.75" customHeight="1" spans="1:31">
      <c r="A61" s="202">
        <v>56</v>
      </c>
      <c r="B61" s="203" t="s">
        <v>180</v>
      </c>
      <c r="C61" s="186" t="s">
        <v>17</v>
      </c>
      <c r="D61" s="187" t="s">
        <v>181</v>
      </c>
      <c r="E61" s="186">
        <v>42</v>
      </c>
      <c r="F61" s="186">
        <v>4.9</v>
      </c>
      <c r="G61" s="204" t="s">
        <v>182</v>
      </c>
      <c r="H61" s="210">
        <v>46235</v>
      </c>
      <c r="I61" s="189">
        <v>41687000</v>
      </c>
      <c r="J61" s="189">
        <v>41687000</v>
      </c>
      <c r="K61" s="191"/>
      <c r="L61" s="191"/>
      <c r="M61" s="191">
        <v>41687000</v>
      </c>
      <c r="N61" s="192"/>
      <c r="O61" s="193" t="s">
        <v>69</v>
      </c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</row>
    <row r="62" ht="15.75" customHeight="1" spans="1:31">
      <c r="A62" s="202">
        <v>57</v>
      </c>
      <c r="B62" s="203" t="s">
        <v>183</v>
      </c>
      <c r="C62" s="186" t="s">
        <v>154</v>
      </c>
      <c r="D62" s="187" t="s">
        <v>184</v>
      </c>
      <c r="E62" s="186">
        <v>42</v>
      </c>
      <c r="F62" s="186">
        <v>15.18</v>
      </c>
      <c r="G62" s="206">
        <v>45789</v>
      </c>
      <c r="H62" s="205" t="s">
        <v>162</v>
      </c>
      <c r="I62" s="189">
        <v>98446000</v>
      </c>
      <c r="J62" s="189">
        <v>98446000</v>
      </c>
      <c r="K62" s="191"/>
      <c r="L62" s="191"/>
      <c r="M62" s="191">
        <v>98446000</v>
      </c>
      <c r="N62" s="192"/>
      <c r="O62" s="193" t="s">
        <v>69</v>
      </c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</row>
    <row r="63" ht="15.75" customHeight="1" spans="1:31">
      <c r="A63" s="184">
        <v>58</v>
      </c>
      <c r="B63" s="209" t="s">
        <v>185</v>
      </c>
      <c r="C63" s="220" t="s">
        <v>62</v>
      </c>
      <c r="D63" s="221" t="s">
        <v>186</v>
      </c>
      <c r="E63" s="220">
        <v>50</v>
      </c>
      <c r="F63" s="220">
        <v>2.62</v>
      </c>
      <c r="G63" s="222" t="s">
        <v>187</v>
      </c>
      <c r="H63" s="223" t="s">
        <v>188</v>
      </c>
      <c r="I63" s="224">
        <v>46234000</v>
      </c>
      <c r="J63" s="198">
        <v>34796000</v>
      </c>
      <c r="K63" s="191"/>
      <c r="L63" s="191"/>
      <c r="M63" s="191">
        <v>34796000</v>
      </c>
      <c r="N63" s="192"/>
      <c r="O63" s="193" t="s">
        <v>69</v>
      </c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</row>
    <row r="64" ht="15.75" customHeight="1" spans="1:31">
      <c r="A64" s="184">
        <v>59</v>
      </c>
      <c r="B64" s="203" t="s">
        <v>189</v>
      </c>
      <c r="C64" s="186" t="s">
        <v>137</v>
      </c>
      <c r="D64" s="187" t="s">
        <v>190</v>
      </c>
      <c r="E64" s="186">
        <v>50</v>
      </c>
      <c r="F64" s="186">
        <v>8.22</v>
      </c>
      <c r="G64" s="206">
        <v>46003</v>
      </c>
      <c r="H64" s="205" t="s">
        <v>191</v>
      </c>
      <c r="I64" s="189">
        <v>68491000</v>
      </c>
      <c r="J64" s="189">
        <v>63738000</v>
      </c>
      <c r="K64" s="200"/>
      <c r="L64" s="200"/>
      <c r="M64" s="200">
        <v>63738000</v>
      </c>
      <c r="N64" s="192"/>
      <c r="O64" s="193" t="s">
        <v>69</v>
      </c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</row>
    <row r="65" ht="15.75" customHeight="1" spans="1:31">
      <c r="A65" s="202">
        <v>60</v>
      </c>
      <c r="B65" s="203" t="s">
        <v>192</v>
      </c>
      <c r="C65" s="186" t="s">
        <v>131</v>
      </c>
      <c r="D65" s="187" t="s">
        <v>193</v>
      </c>
      <c r="E65" s="186">
        <v>42</v>
      </c>
      <c r="F65" s="186">
        <v>11.46</v>
      </c>
      <c r="G65" s="204" t="s">
        <v>194</v>
      </c>
      <c r="H65" s="205" t="s">
        <v>195</v>
      </c>
      <c r="I65" s="189">
        <v>71506000</v>
      </c>
      <c r="J65" s="207">
        <v>71506000</v>
      </c>
      <c r="K65" s="191"/>
      <c r="L65" s="191"/>
      <c r="M65" s="191">
        <v>71506000</v>
      </c>
      <c r="N65" s="192"/>
      <c r="O65" s="193" t="s">
        <v>69</v>
      </c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</row>
    <row r="66" ht="15.75" customHeight="1" spans="1:31">
      <c r="A66" s="202">
        <v>61</v>
      </c>
      <c r="B66" s="203" t="s">
        <v>196</v>
      </c>
      <c r="C66" s="186" t="s">
        <v>71</v>
      </c>
      <c r="D66" s="187" t="s">
        <v>197</v>
      </c>
      <c r="E66" s="186">
        <v>42</v>
      </c>
      <c r="F66" s="186">
        <v>10.08</v>
      </c>
      <c r="G66" s="204" t="s">
        <v>194</v>
      </c>
      <c r="H66" s="205" t="s">
        <v>195</v>
      </c>
      <c r="I66" s="189">
        <v>65090000</v>
      </c>
      <c r="J66" s="189">
        <v>65090000</v>
      </c>
      <c r="K66" s="191"/>
      <c r="L66" s="191"/>
      <c r="M66" s="191">
        <v>65090000</v>
      </c>
      <c r="N66" s="192"/>
      <c r="O66" s="193" t="s">
        <v>69</v>
      </c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</row>
    <row r="67" ht="15.75" customHeight="1" spans="1:31">
      <c r="A67" s="184">
        <v>62</v>
      </c>
      <c r="B67" s="203" t="s">
        <v>198</v>
      </c>
      <c r="C67" s="186" t="s">
        <v>137</v>
      </c>
      <c r="D67" s="187" t="s">
        <v>199</v>
      </c>
      <c r="E67" s="186">
        <v>42</v>
      </c>
      <c r="F67" s="186">
        <v>9.18</v>
      </c>
      <c r="G67" s="204" t="s">
        <v>200</v>
      </c>
      <c r="H67" s="205" t="s">
        <v>201</v>
      </c>
      <c r="I67" s="189">
        <v>61605000</v>
      </c>
      <c r="J67" s="189">
        <v>58307000</v>
      </c>
      <c r="K67" s="191"/>
      <c r="L67" s="191"/>
      <c r="M67" s="191">
        <v>58307000</v>
      </c>
      <c r="N67" s="192"/>
      <c r="O67" s="193" t="s">
        <v>69</v>
      </c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5"/>
      <c r="AB67" s="175"/>
      <c r="AC67" s="175"/>
      <c r="AD67" s="175"/>
      <c r="AE67" s="175"/>
    </row>
    <row r="68" ht="15.75" customHeight="1" spans="1:31">
      <c r="A68" s="202">
        <v>63</v>
      </c>
      <c r="B68" s="203" t="s">
        <v>202</v>
      </c>
      <c r="C68" s="186" t="s">
        <v>203</v>
      </c>
      <c r="D68" s="187" t="s">
        <v>204</v>
      </c>
      <c r="E68" s="186">
        <v>30</v>
      </c>
      <c r="F68" s="186">
        <v>7.65</v>
      </c>
      <c r="G68" s="206">
        <v>46267</v>
      </c>
      <c r="H68" s="210">
        <v>46298</v>
      </c>
      <c r="I68" s="189">
        <v>54276000</v>
      </c>
      <c r="J68" s="207">
        <v>54276000</v>
      </c>
      <c r="K68" s="191"/>
      <c r="L68" s="191"/>
      <c r="M68" s="191">
        <v>54276000</v>
      </c>
      <c r="N68" s="192"/>
      <c r="O68" s="193" t="s">
        <v>69</v>
      </c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5"/>
      <c r="AB68" s="175"/>
      <c r="AC68" s="175"/>
      <c r="AD68" s="175"/>
      <c r="AE68" s="175"/>
    </row>
    <row r="69" ht="15.75" customHeight="1" spans="1:31">
      <c r="A69" s="202">
        <v>64</v>
      </c>
      <c r="B69" s="203" t="s">
        <v>205</v>
      </c>
      <c r="C69" s="186" t="s">
        <v>117</v>
      </c>
      <c r="D69" s="187" t="s">
        <v>206</v>
      </c>
      <c r="E69" s="186">
        <v>42</v>
      </c>
      <c r="F69" s="186">
        <v>3.49</v>
      </c>
      <c r="G69" s="206">
        <v>46267</v>
      </c>
      <c r="H69" s="205" t="s">
        <v>207</v>
      </c>
      <c r="I69" s="189">
        <v>24793000</v>
      </c>
      <c r="J69" s="207">
        <v>24793000</v>
      </c>
      <c r="K69" s="191"/>
      <c r="L69" s="191"/>
      <c r="M69" s="191">
        <v>24793000</v>
      </c>
      <c r="N69" s="192"/>
      <c r="O69" s="193" t="s">
        <v>69</v>
      </c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</row>
    <row r="70" ht="15.75" customHeight="1" spans="1:31">
      <c r="A70" s="225">
        <v>65</v>
      </c>
      <c r="B70" s="226" t="s">
        <v>208</v>
      </c>
      <c r="C70" s="186" t="s">
        <v>131</v>
      </c>
      <c r="D70" s="187" t="s">
        <v>209</v>
      </c>
      <c r="E70" s="186">
        <v>42</v>
      </c>
      <c r="F70" s="186">
        <v>1.7</v>
      </c>
      <c r="G70" s="204" t="s">
        <v>210</v>
      </c>
      <c r="H70" s="210">
        <v>46057</v>
      </c>
      <c r="I70" s="189">
        <v>71222000</v>
      </c>
      <c r="J70" s="207">
        <v>53808000</v>
      </c>
      <c r="K70" s="191"/>
      <c r="L70" s="191"/>
      <c r="M70" s="191">
        <v>53808000</v>
      </c>
      <c r="N70" s="192"/>
      <c r="O70" s="193" t="s">
        <v>69</v>
      </c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</row>
    <row r="71" ht="15.75" customHeight="1" spans="1:31">
      <c r="A71" s="213">
        <v>66</v>
      </c>
      <c r="B71" s="227" t="s">
        <v>211</v>
      </c>
      <c r="C71" s="213" t="s">
        <v>159</v>
      </c>
      <c r="D71" s="214" t="s">
        <v>212</v>
      </c>
      <c r="E71" s="213">
        <v>56</v>
      </c>
      <c r="F71" s="213">
        <v>0</v>
      </c>
      <c r="G71" s="215">
        <v>46176</v>
      </c>
      <c r="H71" s="216" t="s">
        <v>213</v>
      </c>
      <c r="I71" s="217">
        <v>24092000</v>
      </c>
      <c r="J71" s="228">
        <v>20880000</v>
      </c>
      <c r="K71" s="191"/>
      <c r="L71" s="191"/>
      <c r="M71" s="191">
        <v>20880000</v>
      </c>
      <c r="N71" s="192"/>
      <c r="O71" s="193" t="s">
        <v>69</v>
      </c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</row>
    <row r="72" ht="15.75" customHeight="1" spans="1:31">
      <c r="A72" s="229">
        <v>67</v>
      </c>
      <c r="B72" s="230" t="s">
        <v>214</v>
      </c>
      <c r="C72" s="186" t="s">
        <v>137</v>
      </c>
      <c r="D72" s="187" t="s">
        <v>215</v>
      </c>
      <c r="E72" s="186">
        <v>51</v>
      </c>
      <c r="F72" s="186">
        <v>12.06</v>
      </c>
      <c r="G72" s="206">
        <v>46268</v>
      </c>
      <c r="H72" s="205" t="s">
        <v>216</v>
      </c>
      <c r="I72" s="189">
        <v>69426000</v>
      </c>
      <c r="J72" s="187"/>
      <c r="K72" s="193"/>
      <c r="L72" s="193"/>
      <c r="M72" s="193"/>
      <c r="N72" s="192"/>
      <c r="O72" s="193" t="s">
        <v>69</v>
      </c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</row>
    <row r="73" ht="15.75" customHeight="1" spans="1:31">
      <c r="A73" s="186">
        <v>68</v>
      </c>
      <c r="B73" s="230" t="s">
        <v>217</v>
      </c>
      <c r="C73" s="186" t="s">
        <v>91</v>
      </c>
      <c r="D73" s="187" t="s">
        <v>218</v>
      </c>
      <c r="E73" s="186">
        <v>49</v>
      </c>
      <c r="F73" s="186">
        <v>0.26</v>
      </c>
      <c r="G73" s="204" t="s">
        <v>219</v>
      </c>
      <c r="H73" s="205" t="s">
        <v>213</v>
      </c>
      <c r="I73" s="231">
        <v>25675000</v>
      </c>
      <c r="J73" s="232">
        <v>24531000</v>
      </c>
      <c r="K73" s="191"/>
      <c r="L73" s="191"/>
      <c r="M73" s="191">
        <v>24531000</v>
      </c>
      <c r="N73" s="192"/>
      <c r="O73" s="193" t="s">
        <v>69</v>
      </c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5"/>
      <c r="AB73" s="175"/>
      <c r="AC73" s="175"/>
      <c r="AD73" s="175"/>
      <c r="AE73" s="175"/>
    </row>
    <row r="74" ht="15.75" customHeight="1" spans="1:31">
      <c r="A74" s="186">
        <v>69</v>
      </c>
      <c r="B74" s="230" t="s">
        <v>220</v>
      </c>
      <c r="C74" s="186" t="s">
        <v>53</v>
      </c>
      <c r="D74" s="187" t="s">
        <v>221</v>
      </c>
      <c r="E74" s="186">
        <v>60</v>
      </c>
      <c r="F74" s="186">
        <v>41.62</v>
      </c>
      <c r="G74" s="206">
        <v>46026</v>
      </c>
      <c r="H74" s="205" t="s">
        <v>222</v>
      </c>
      <c r="I74" s="189">
        <v>227234000</v>
      </c>
      <c r="J74" s="207">
        <v>226827000</v>
      </c>
      <c r="K74" s="191"/>
      <c r="L74" s="191"/>
      <c r="M74" s="191">
        <v>226827000</v>
      </c>
      <c r="N74" s="192"/>
      <c r="O74" s="193" t="s">
        <v>69</v>
      </c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5"/>
      <c r="AB74" s="175"/>
      <c r="AC74" s="175"/>
      <c r="AD74" s="175"/>
      <c r="AE74" s="175"/>
    </row>
    <row r="75" ht="15.75" customHeight="1" spans="1:31">
      <c r="A75" s="229">
        <v>70</v>
      </c>
      <c r="B75" s="233" t="s">
        <v>223</v>
      </c>
      <c r="C75" s="186" t="s">
        <v>39</v>
      </c>
      <c r="D75" s="234" t="s">
        <v>224</v>
      </c>
      <c r="E75" s="235">
        <v>42</v>
      </c>
      <c r="F75" s="235">
        <v>1.99</v>
      </c>
      <c r="G75" s="236">
        <v>46149</v>
      </c>
      <c r="H75" s="236">
        <v>46190</v>
      </c>
      <c r="I75" s="231">
        <v>18007000</v>
      </c>
      <c r="J75" s="232">
        <v>13034000</v>
      </c>
      <c r="K75" s="191"/>
      <c r="L75" s="191"/>
      <c r="M75" s="191">
        <v>40932000</v>
      </c>
      <c r="N75" s="192">
        <v>40932000</v>
      </c>
      <c r="O75" s="193" t="s">
        <v>20</v>
      </c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</row>
    <row r="76" ht="15.75" customHeight="1" spans="1:31">
      <c r="A76" s="229">
        <v>71</v>
      </c>
      <c r="B76" s="233" t="s">
        <v>225</v>
      </c>
      <c r="C76" s="186" t="s">
        <v>154</v>
      </c>
      <c r="D76" s="234" t="s">
        <v>226</v>
      </c>
      <c r="E76" s="235">
        <v>42</v>
      </c>
      <c r="F76" s="235">
        <v>8.02</v>
      </c>
      <c r="G76" s="236">
        <v>46156</v>
      </c>
      <c r="H76" s="236">
        <v>46197</v>
      </c>
      <c r="I76" s="231">
        <v>55966000</v>
      </c>
      <c r="J76" s="232">
        <v>52366000</v>
      </c>
      <c r="K76" s="191"/>
      <c r="L76" s="191"/>
      <c r="M76" s="191">
        <v>52366000</v>
      </c>
      <c r="N76" s="192"/>
      <c r="O76" s="193" t="s">
        <v>69</v>
      </c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</row>
    <row r="77" ht="15.75" customHeight="1" spans="1:31">
      <c r="A77" s="186">
        <v>72</v>
      </c>
      <c r="B77" s="233" t="s">
        <v>227</v>
      </c>
      <c r="C77" s="186" t="s">
        <v>137</v>
      </c>
      <c r="D77" s="234" t="s">
        <v>228</v>
      </c>
      <c r="E77" s="235">
        <v>14</v>
      </c>
      <c r="F77" s="235">
        <v>0</v>
      </c>
      <c r="G77" s="236">
        <v>46143</v>
      </c>
      <c r="H77" s="236">
        <v>46187</v>
      </c>
      <c r="I77" s="231">
        <v>8898000</v>
      </c>
      <c r="J77" s="232">
        <v>8898000</v>
      </c>
      <c r="K77" s="200"/>
      <c r="L77" s="200"/>
      <c r="M77" s="200">
        <v>8898000</v>
      </c>
      <c r="N77" s="192"/>
      <c r="O77" s="193" t="s">
        <v>69</v>
      </c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</row>
    <row r="78" ht="15.75" customHeight="1" spans="1:31">
      <c r="A78" s="186">
        <v>73</v>
      </c>
      <c r="B78" s="233" t="s">
        <v>229</v>
      </c>
      <c r="C78" s="186" t="s">
        <v>24</v>
      </c>
      <c r="D78" s="234" t="s">
        <v>230</v>
      </c>
      <c r="E78" s="235">
        <v>42</v>
      </c>
      <c r="F78" s="235">
        <v>2.6</v>
      </c>
      <c r="G78" s="236">
        <v>46143</v>
      </c>
      <c r="H78" s="236">
        <v>46184</v>
      </c>
      <c r="I78" s="231">
        <v>36301000</v>
      </c>
      <c r="J78" s="232">
        <v>35216000</v>
      </c>
      <c r="K78" s="191"/>
      <c r="L78" s="191"/>
      <c r="M78" s="191">
        <v>35216000</v>
      </c>
      <c r="N78" s="192"/>
      <c r="O78" s="193" t="s">
        <v>69</v>
      </c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</row>
    <row r="79" ht="15.75" customHeight="1" spans="1:31">
      <c r="A79" s="186">
        <v>74</v>
      </c>
      <c r="B79" s="233" t="s">
        <v>231</v>
      </c>
      <c r="C79" s="186" t="s">
        <v>232</v>
      </c>
      <c r="D79" s="234" t="s">
        <v>233</v>
      </c>
      <c r="E79" s="235">
        <v>14</v>
      </c>
      <c r="F79" s="235">
        <v>0</v>
      </c>
      <c r="G79" s="236">
        <v>46143</v>
      </c>
      <c r="H79" s="236">
        <v>46187</v>
      </c>
      <c r="I79" s="231">
        <v>8669000</v>
      </c>
      <c r="J79" s="232">
        <v>8669000</v>
      </c>
      <c r="K79" s="200"/>
      <c r="L79" s="200"/>
      <c r="M79" s="200">
        <v>8669000</v>
      </c>
      <c r="N79" s="192"/>
      <c r="O79" s="193" t="s">
        <v>69</v>
      </c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</row>
    <row r="80" ht="15.75" customHeight="1" spans="1:31">
      <c r="A80" s="186">
        <v>75</v>
      </c>
      <c r="B80" s="233" t="s">
        <v>234</v>
      </c>
      <c r="C80" s="186" t="s">
        <v>39</v>
      </c>
      <c r="D80" s="234" t="s">
        <v>235</v>
      </c>
      <c r="E80" s="235">
        <v>42</v>
      </c>
      <c r="F80" s="235">
        <v>3.77</v>
      </c>
      <c r="G80" s="236">
        <v>46143</v>
      </c>
      <c r="H80" s="236">
        <v>46184</v>
      </c>
      <c r="I80" s="231">
        <v>43777000</v>
      </c>
      <c r="J80" s="232">
        <v>40932000</v>
      </c>
      <c r="K80" s="191"/>
      <c r="L80" s="191"/>
      <c r="M80" s="191">
        <v>40932000</v>
      </c>
      <c r="N80" s="192"/>
      <c r="O80" s="193" t="s">
        <v>69</v>
      </c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</row>
    <row r="81" ht="15.75" customHeight="1" spans="1:31">
      <c r="A81" s="186">
        <v>76</v>
      </c>
      <c r="B81" s="233" t="s">
        <v>236</v>
      </c>
      <c r="C81" s="186" t="s">
        <v>47</v>
      </c>
      <c r="D81" s="234" t="s">
        <v>237</v>
      </c>
      <c r="E81" s="235">
        <v>42</v>
      </c>
      <c r="F81" s="235">
        <v>2.52</v>
      </c>
      <c r="G81" s="236">
        <v>46143</v>
      </c>
      <c r="H81" s="236">
        <v>46184</v>
      </c>
      <c r="I81" s="231">
        <v>25874000</v>
      </c>
      <c r="J81" s="232">
        <v>24496000</v>
      </c>
      <c r="K81" s="191"/>
      <c r="L81" s="191"/>
      <c r="M81" s="191">
        <v>24496000</v>
      </c>
      <c r="N81" s="192"/>
      <c r="O81" s="193" t="s">
        <v>69</v>
      </c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</row>
    <row r="82" ht="15.75" customHeight="1" spans="1:31">
      <c r="A82" s="186">
        <v>77</v>
      </c>
      <c r="B82" s="233" t="s">
        <v>238</v>
      </c>
      <c r="C82" s="186" t="s">
        <v>53</v>
      </c>
      <c r="D82" s="234" t="s">
        <v>239</v>
      </c>
      <c r="E82" s="235">
        <v>42</v>
      </c>
      <c r="F82" s="235">
        <v>2.49</v>
      </c>
      <c r="G82" s="236">
        <v>46143</v>
      </c>
      <c r="H82" s="236">
        <v>46184</v>
      </c>
      <c r="I82" s="231">
        <v>25309000</v>
      </c>
      <c r="J82" s="232">
        <v>23965000</v>
      </c>
      <c r="K82" s="191"/>
      <c r="L82" s="191"/>
      <c r="M82" s="191">
        <v>23965000</v>
      </c>
      <c r="N82" s="192">
        <v>23965000</v>
      </c>
      <c r="O82" s="193" t="s">
        <v>20</v>
      </c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</row>
    <row r="83" ht="15.75" customHeight="1" spans="1:31">
      <c r="A83" s="229">
        <v>78</v>
      </c>
      <c r="B83" s="233" t="s">
        <v>240</v>
      </c>
      <c r="C83" s="186" t="s">
        <v>140</v>
      </c>
      <c r="D83" s="234" t="s">
        <v>241</v>
      </c>
      <c r="E83" s="235">
        <v>30</v>
      </c>
      <c r="F83" s="235">
        <v>0</v>
      </c>
      <c r="G83" s="236">
        <v>46160</v>
      </c>
      <c r="H83" s="236">
        <v>46189</v>
      </c>
      <c r="I83" s="231">
        <v>23303000</v>
      </c>
      <c r="J83" s="232">
        <v>18176000</v>
      </c>
      <c r="K83" s="200"/>
      <c r="L83" s="200"/>
      <c r="M83" s="200">
        <v>18176000</v>
      </c>
      <c r="N83" s="192"/>
      <c r="O83" s="193" t="s">
        <v>69</v>
      </c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5"/>
      <c r="AE83" s="175"/>
    </row>
    <row r="84" ht="15.75" customHeight="1" spans="1:31">
      <c r="A84" s="229">
        <v>79</v>
      </c>
      <c r="B84" s="233" t="s">
        <v>242</v>
      </c>
      <c r="C84" s="186" t="s">
        <v>243</v>
      </c>
      <c r="D84" s="234" t="s">
        <v>244</v>
      </c>
      <c r="E84" s="235">
        <v>90</v>
      </c>
      <c r="F84" s="235">
        <v>0</v>
      </c>
      <c r="G84" s="236">
        <v>46154</v>
      </c>
      <c r="H84" s="236">
        <v>46243</v>
      </c>
      <c r="I84" s="231">
        <v>369419000</v>
      </c>
      <c r="J84" s="232">
        <v>246197000</v>
      </c>
      <c r="K84" s="232"/>
      <c r="L84" s="232"/>
      <c r="M84" s="232">
        <v>246197000</v>
      </c>
      <c r="N84" s="192"/>
      <c r="O84" s="193" t="s">
        <v>69</v>
      </c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</row>
    <row r="85" ht="15.75" customHeight="1" spans="1:31">
      <c r="A85" s="186">
        <v>80</v>
      </c>
      <c r="B85" s="233" t="s">
        <v>245</v>
      </c>
      <c r="C85" s="186" t="s">
        <v>47</v>
      </c>
      <c r="D85" s="234" t="s">
        <v>246</v>
      </c>
      <c r="E85" s="235">
        <v>42</v>
      </c>
      <c r="F85" s="235">
        <v>6.97</v>
      </c>
      <c r="G85" s="236">
        <v>46171</v>
      </c>
      <c r="H85" s="236">
        <v>46212</v>
      </c>
      <c r="I85" s="231">
        <v>62825000</v>
      </c>
      <c r="J85" s="232">
        <v>60159000</v>
      </c>
      <c r="K85" s="232"/>
      <c r="L85" s="232"/>
      <c r="M85" s="232">
        <v>60159000</v>
      </c>
      <c r="N85" s="192"/>
      <c r="O85" s="193" t="s">
        <v>69</v>
      </c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  <c r="AA85" s="175"/>
      <c r="AB85" s="175"/>
      <c r="AC85" s="175"/>
      <c r="AD85" s="175"/>
      <c r="AE85" s="175"/>
    </row>
    <row r="86" ht="15.75" customHeight="1" spans="1:31">
      <c r="A86" s="186">
        <v>81</v>
      </c>
      <c r="B86" s="233" t="s">
        <v>247</v>
      </c>
      <c r="C86" s="186" t="s">
        <v>137</v>
      </c>
      <c r="D86" s="234" t="s">
        <v>248</v>
      </c>
      <c r="E86" s="235">
        <v>42</v>
      </c>
      <c r="F86" s="235">
        <v>7.99</v>
      </c>
      <c r="G86" s="236">
        <v>46171</v>
      </c>
      <c r="H86" s="236">
        <v>46212</v>
      </c>
      <c r="I86" s="231">
        <v>95846000</v>
      </c>
      <c r="J86" s="232">
        <v>69129000</v>
      </c>
      <c r="K86" s="232"/>
      <c r="L86" s="232"/>
      <c r="M86" s="232">
        <v>69129000</v>
      </c>
      <c r="N86" s="192"/>
      <c r="O86" s="193" t="s">
        <v>69</v>
      </c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  <c r="AA86" s="175"/>
      <c r="AB86" s="175"/>
      <c r="AC86" s="175"/>
      <c r="AD86" s="175"/>
      <c r="AE86" s="175"/>
    </row>
    <row r="87" ht="15.75" customHeight="1" spans="1:31">
      <c r="A87" s="186">
        <v>82</v>
      </c>
      <c r="B87" s="237" t="s">
        <v>249</v>
      </c>
      <c r="C87" s="186" t="s">
        <v>47</v>
      </c>
      <c r="D87" s="234" t="s">
        <v>250</v>
      </c>
      <c r="E87" s="235">
        <v>42</v>
      </c>
      <c r="F87" s="235">
        <v>6.8</v>
      </c>
      <c r="G87" s="236">
        <v>46171</v>
      </c>
      <c r="H87" s="236">
        <v>46212</v>
      </c>
      <c r="I87" s="231">
        <v>64282000</v>
      </c>
      <c r="J87" s="232">
        <v>60901000</v>
      </c>
      <c r="K87" s="200"/>
      <c r="L87" s="200"/>
      <c r="M87" s="200">
        <v>60901000</v>
      </c>
      <c r="N87" s="192"/>
      <c r="O87" s="193" t="s">
        <v>69</v>
      </c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  <c r="AA87" s="175"/>
      <c r="AB87" s="175"/>
      <c r="AC87" s="175"/>
      <c r="AD87" s="175"/>
      <c r="AE87" s="175"/>
    </row>
    <row r="88" ht="15.75" customHeight="1" spans="1:31">
      <c r="A88" s="186">
        <v>83</v>
      </c>
      <c r="B88" s="237" t="s">
        <v>251</v>
      </c>
      <c r="C88" s="186" t="s">
        <v>47</v>
      </c>
      <c r="D88" s="234" t="s">
        <v>252</v>
      </c>
      <c r="E88" s="235">
        <v>42</v>
      </c>
      <c r="F88" s="235">
        <v>4.36</v>
      </c>
      <c r="G88" s="236">
        <v>46171</v>
      </c>
      <c r="H88" s="236">
        <v>46212</v>
      </c>
      <c r="I88" s="231">
        <v>55017000</v>
      </c>
      <c r="J88" s="232">
        <v>50892000</v>
      </c>
      <c r="K88" s="232"/>
      <c r="L88" s="232"/>
      <c r="M88" s="232">
        <v>50892000</v>
      </c>
      <c r="N88" s="192"/>
      <c r="O88" s="193" t="s">
        <v>69</v>
      </c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</row>
    <row r="89" ht="15.75" customHeight="1" spans="1:31">
      <c r="A89" s="186">
        <v>84</v>
      </c>
      <c r="B89" s="237" t="s">
        <v>253</v>
      </c>
      <c r="C89" s="186" t="s">
        <v>29</v>
      </c>
      <c r="D89" s="234" t="s">
        <v>254</v>
      </c>
      <c r="E89" s="235">
        <v>42</v>
      </c>
      <c r="F89" s="235">
        <v>3.25</v>
      </c>
      <c r="G89" s="236">
        <v>46178</v>
      </c>
      <c r="H89" s="236">
        <v>46219</v>
      </c>
      <c r="I89" s="231">
        <v>52840000</v>
      </c>
      <c r="J89" s="232">
        <v>48053000</v>
      </c>
      <c r="K89" s="232"/>
      <c r="L89" s="232"/>
      <c r="M89" s="232">
        <v>48053000</v>
      </c>
      <c r="N89" s="192"/>
      <c r="O89" s="193" t="s">
        <v>69</v>
      </c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</row>
    <row r="90" ht="15.75" customHeight="1" spans="1:31">
      <c r="A90" s="186">
        <v>85</v>
      </c>
      <c r="B90" s="237" t="s">
        <v>255</v>
      </c>
      <c r="C90" s="186" t="s">
        <v>39</v>
      </c>
      <c r="D90" s="234" t="s">
        <v>256</v>
      </c>
      <c r="E90" s="235">
        <v>42</v>
      </c>
      <c r="F90" s="235">
        <v>4.74</v>
      </c>
      <c r="G90" s="236">
        <v>46178</v>
      </c>
      <c r="H90" s="236">
        <v>46219</v>
      </c>
      <c r="I90" s="231">
        <v>43656000</v>
      </c>
      <c r="J90" s="232">
        <v>35338000</v>
      </c>
      <c r="K90" s="232"/>
      <c r="L90" s="232"/>
      <c r="M90" s="232">
        <v>35338000</v>
      </c>
      <c r="N90" s="192"/>
      <c r="O90" s="193" t="s">
        <v>69</v>
      </c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  <c r="AA90" s="175"/>
      <c r="AB90" s="175"/>
      <c r="AC90" s="175"/>
      <c r="AD90" s="175"/>
      <c r="AE90" s="175"/>
    </row>
    <row r="91" ht="15.75" customHeight="1" spans="1:31">
      <c r="A91" s="186">
        <v>86</v>
      </c>
      <c r="B91" s="237" t="s">
        <v>257</v>
      </c>
      <c r="C91" s="186" t="s">
        <v>117</v>
      </c>
      <c r="D91" s="234" t="s">
        <v>258</v>
      </c>
      <c r="E91" s="235">
        <v>42</v>
      </c>
      <c r="F91" s="235">
        <v>5.86</v>
      </c>
      <c r="G91" s="236">
        <v>46178</v>
      </c>
      <c r="H91" s="236">
        <v>46219</v>
      </c>
      <c r="I91" s="231">
        <v>57938000</v>
      </c>
      <c r="J91" s="232">
        <v>54828000</v>
      </c>
      <c r="K91" s="232"/>
      <c r="L91" s="232"/>
      <c r="M91" s="232">
        <v>54828000</v>
      </c>
      <c r="N91" s="192"/>
      <c r="O91" s="193" t="s">
        <v>69</v>
      </c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</row>
    <row r="92" ht="15.75" customHeight="1" spans="1:31">
      <c r="A92" s="186">
        <v>87</v>
      </c>
      <c r="B92" s="237" t="s">
        <v>259</v>
      </c>
      <c r="C92" s="186" t="s">
        <v>117</v>
      </c>
      <c r="D92" s="234" t="s">
        <v>260</v>
      </c>
      <c r="E92" s="235">
        <v>42</v>
      </c>
      <c r="F92" s="235">
        <v>4.83</v>
      </c>
      <c r="G92" s="236">
        <v>46178</v>
      </c>
      <c r="H92" s="236">
        <v>46219</v>
      </c>
      <c r="I92" s="231">
        <v>55270000</v>
      </c>
      <c r="J92" s="232">
        <v>50950000</v>
      </c>
      <c r="K92" s="232"/>
      <c r="L92" s="232"/>
      <c r="M92" s="232">
        <v>50950000</v>
      </c>
      <c r="N92" s="192"/>
      <c r="O92" s="193" t="s">
        <v>69</v>
      </c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  <c r="AA92" s="175"/>
      <c r="AB92" s="175"/>
      <c r="AC92" s="175"/>
      <c r="AD92" s="175"/>
      <c r="AE92" s="175"/>
    </row>
    <row r="93" ht="15.75" customHeight="1" spans="1:31">
      <c r="A93" s="229">
        <v>88</v>
      </c>
      <c r="B93" s="237" t="s">
        <v>261</v>
      </c>
      <c r="C93" s="186" t="s">
        <v>137</v>
      </c>
      <c r="D93" s="234" t="s">
        <v>262</v>
      </c>
      <c r="E93" s="235">
        <v>42</v>
      </c>
      <c r="F93" s="235">
        <v>1.11</v>
      </c>
      <c r="G93" s="236">
        <v>46191</v>
      </c>
      <c r="H93" s="236">
        <v>46263</v>
      </c>
      <c r="I93" s="231">
        <v>14046000</v>
      </c>
      <c r="J93" s="232">
        <v>14046000</v>
      </c>
      <c r="K93" s="232"/>
      <c r="L93" s="232"/>
      <c r="M93" s="232">
        <v>14046000</v>
      </c>
      <c r="N93" s="192"/>
      <c r="O93" s="193" t="s">
        <v>69</v>
      </c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  <c r="AA93" s="175"/>
      <c r="AB93" s="175"/>
      <c r="AC93" s="175"/>
      <c r="AD93" s="175"/>
      <c r="AE93" s="175"/>
    </row>
    <row r="94" ht="15.75" customHeight="1" spans="1:31">
      <c r="A94" s="229">
        <v>89</v>
      </c>
      <c r="B94" s="237" t="s">
        <v>263</v>
      </c>
      <c r="C94" s="186" t="s">
        <v>47</v>
      </c>
      <c r="D94" s="234" t="s">
        <v>264</v>
      </c>
      <c r="E94" s="235">
        <v>42</v>
      </c>
      <c r="F94" s="235">
        <v>2.15</v>
      </c>
      <c r="G94" s="236">
        <v>46209</v>
      </c>
      <c r="H94" s="236">
        <v>46250</v>
      </c>
      <c r="I94" s="231">
        <v>18908000</v>
      </c>
      <c r="J94" s="232">
        <v>18908000</v>
      </c>
      <c r="K94" s="232"/>
      <c r="L94" s="232"/>
      <c r="M94" s="232">
        <v>18908000</v>
      </c>
      <c r="N94" s="192"/>
      <c r="O94" s="193" t="s">
        <v>69</v>
      </c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  <c r="AA94" s="175"/>
      <c r="AB94" s="175"/>
      <c r="AC94" s="175"/>
      <c r="AD94" s="175"/>
      <c r="AE94" s="175"/>
    </row>
    <row r="95" ht="15.75" customHeight="1" spans="1:31">
      <c r="A95" s="186">
        <v>90</v>
      </c>
      <c r="B95" s="237" t="s">
        <v>265</v>
      </c>
      <c r="C95" s="186" t="s">
        <v>53</v>
      </c>
      <c r="D95" s="234" t="s">
        <v>266</v>
      </c>
      <c r="E95" s="235">
        <v>42</v>
      </c>
      <c r="F95" s="235">
        <v>2.69</v>
      </c>
      <c r="G95" s="236">
        <v>46192</v>
      </c>
      <c r="H95" s="236">
        <v>46233</v>
      </c>
      <c r="I95" s="231">
        <v>54708000</v>
      </c>
      <c r="J95" s="238"/>
      <c r="K95" s="193"/>
      <c r="L95" s="193"/>
      <c r="M95" s="193"/>
      <c r="N95" s="192"/>
      <c r="O95" s="193" t="s">
        <v>69</v>
      </c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  <c r="AA95" s="175"/>
      <c r="AB95" s="175"/>
      <c r="AC95" s="175"/>
      <c r="AD95" s="175"/>
      <c r="AE95" s="175"/>
    </row>
    <row r="96" ht="15.75" customHeight="1" spans="1:31">
      <c r="A96" s="186">
        <v>91</v>
      </c>
      <c r="B96" s="237" t="s">
        <v>267</v>
      </c>
      <c r="C96" s="186" t="s">
        <v>268</v>
      </c>
      <c r="D96" s="234" t="s">
        <v>269</v>
      </c>
      <c r="E96" s="235">
        <v>42</v>
      </c>
      <c r="F96" s="235">
        <v>7.26</v>
      </c>
      <c r="G96" s="236">
        <v>46192</v>
      </c>
      <c r="H96" s="236">
        <v>46233</v>
      </c>
      <c r="I96" s="231">
        <v>74802000</v>
      </c>
      <c r="J96" s="238"/>
      <c r="K96" s="193"/>
      <c r="L96" s="193"/>
      <c r="M96" s="193"/>
      <c r="N96" s="192"/>
      <c r="O96" s="193" t="s">
        <v>69</v>
      </c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  <c r="AA96" s="175"/>
      <c r="AB96" s="175"/>
      <c r="AC96" s="175"/>
      <c r="AD96" s="175"/>
      <c r="AE96" s="175"/>
    </row>
    <row r="97" ht="15.75" customHeight="1" spans="1:31">
      <c r="A97" s="229">
        <v>92</v>
      </c>
      <c r="B97" s="237" t="s">
        <v>270</v>
      </c>
      <c r="C97" s="186" t="s">
        <v>137</v>
      </c>
      <c r="D97" s="234" t="s">
        <v>271</v>
      </c>
      <c r="E97" s="235">
        <v>46</v>
      </c>
      <c r="F97" s="235">
        <v>1.92</v>
      </c>
      <c r="G97" s="236">
        <v>46197</v>
      </c>
      <c r="H97" s="236">
        <v>46242</v>
      </c>
      <c r="I97" s="231">
        <v>39677000</v>
      </c>
      <c r="J97" s="238"/>
      <c r="K97" s="193"/>
      <c r="L97" s="193"/>
      <c r="M97" s="193"/>
      <c r="N97" s="192"/>
      <c r="O97" s="193" t="s">
        <v>69</v>
      </c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  <c r="AA97" s="175"/>
      <c r="AB97" s="175"/>
      <c r="AC97" s="175"/>
      <c r="AD97" s="175"/>
      <c r="AE97" s="175"/>
    </row>
    <row r="98" ht="15.75" customHeight="1" spans="1:31">
      <c r="A98" s="229">
        <v>93</v>
      </c>
      <c r="B98" s="237" t="s">
        <v>272</v>
      </c>
      <c r="C98" s="186" t="s">
        <v>29</v>
      </c>
      <c r="D98" s="234" t="s">
        <v>273</v>
      </c>
      <c r="E98" s="235">
        <v>60</v>
      </c>
      <c r="F98" s="235">
        <v>30.94</v>
      </c>
      <c r="G98" s="236">
        <v>46223</v>
      </c>
      <c r="H98" s="236">
        <v>46282</v>
      </c>
      <c r="I98" s="231">
        <v>176352000</v>
      </c>
      <c r="J98" s="238"/>
      <c r="K98" s="193"/>
      <c r="L98" s="193"/>
      <c r="M98" s="193"/>
      <c r="N98" s="192"/>
      <c r="O98" s="193" t="s">
        <v>69</v>
      </c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  <c r="AA98" s="175"/>
      <c r="AB98" s="175"/>
      <c r="AC98" s="175"/>
      <c r="AD98" s="175"/>
      <c r="AE98" s="175"/>
    </row>
    <row r="99" ht="15.75" customHeight="1" spans="1:31">
      <c r="A99" s="186">
        <v>94</v>
      </c>
      <c r="B99" s="237" t="s">
        <v>274</v>
      </c>
      <c r="C99" s="186" t="s">
        <v>29</v>
      </c>
      <c r="D99" s="234" t="s">
        <v>275</v>
      </c>
      <c r="E99" s="235">
        <v>42</v>
      </c>
      <c r="F99" s="235">
        <v>3.33</v>
      </c>
      <c r="G99" s="236">
        <v>46213</v>
      </c>
      <c r="H99" s="236">
        <v>46254</v>
      </c>
      <c r="I99" s="231">
        <v>59979000</v>
      </c>
      <c r="J99" s="238"/>
      <c r="K99" s="193"/>
      <c r="L99" s="193"/>
      <c r="M99" s="193"/>
      <c r="N99" s="192"/>
      <c r="O99" s="193" t="s">
        <v>69</v>
      </c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</row>
    <row r="100" ht="15.75" customHeight="1" spans="1:31">
      <c r="A100" s="186">
        <v>95</v>
      </c>
      <c r="B100" s="237" t="s">
        <v>276</v>
      </c>
      <c r="C100" s="186" t="s">
        <v>29</v>
      </c>
      <c r="D100" s="234" t="s">
        <v>277</v>
      </c>
      <c r="E100" s="235">
        <v>42</v>
      </c>
      <c r="F100" s="235">
        <v>8.38</v>
      </c>
      <c r="G100" s="236">
        <v>46213</v>
      </c>
      <c r="H100" s="236">
        <v>46254</v>
      </c>
      <c r="I100" s="231">
        <v>94151000</v>
      </c>
      <c r="J100" s="238"/>
      <c r="K100" s="193"/>
      <c r="L100" s="193"/>
      <c r="M100" s="193"/>
      <c r="N100" s="192"/>
      <c r="O100" s="193" t="s">
        <v>69</v>
      </c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  <c r="AA100" s="175"/>
      <c r="AB100" s="175"/>
      <c r="AC100" s="175"/>
      <c r="AD100" s="175"/>
      <c r="AE100" s="175"/>
    </row>
    <row r="101" ht="15.75" customHeight="1" spans="1:31">
      <c r="A101" s="186">
        <v>96</v>
      </c>
      <c r="B101" s="237" t="s">
        <v>278</v>
      </c>
      <c r="C101" s="186" t="s">
        <v>279</v>
      </c>
      <c r="D101" s="234" t="s">
        <v>280</v>
      </c>
      <c r="E101" s="235">
        <v>42</v>
      </c>
      <c r="F101" s="235">
        <v>6.89</v>
      </c>
      <c r="G101" s="236">
        <v>46220</v>
      </c>
      <c r="H101" s="236">
        <v>46261</v>
      </c>
      <c r="I101" s="231">
        <v>79626000</v>
      </c>
      <c r="J101" s="238"/>
      <c r="K101" s="193"/>
      <c r="L101" s="193"/>
      <c r="M101" s="193"/>
      <c r="N101" s="192"/>
      <c r="O101" s="193" t="s">
        <v>69</v>
      </c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</row>
    <row r="102" ht="15.75" customHeight="1" spans="1:31">
      <c r="A102" s="186">
        <v>97</v>
      </c>
      <c r="B102" s="237" t="s">
        <v>281</v>
      </c>
      <c r="C102" s="186" t="s">
        <v>117</v>
      </c>
      <c r="D102" s="234" t="s">
        <v>282</v>
      </c>
      <c r="E102" s="235">
        <v>42</v>
      </c>
      <c r="F102" s="235">
        <v>8.5</v>
      </c>
      <c r="G102" s="236">
        <v>46220</v>
      </c>
      <c r="H102" s="236">
        <v>46261</v>
      </c>
      <c r="I102" s="231">
        <v>79271000</v>
      </c>
      <c r="J102" s="238"/>
      <c r="K102" s="193"/>
      <c r="L102" s="193"/>
      <c r="M102" s="193"/>
      <c r="N102" s="192"/>
      <c r="O102" s="193" t="s">
        <v>69</v>
      </c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  <c r="AA102" s="175"/>
      <c r="AB102" s="175"/>
      <c r="AC102" s="175"/>
      <c r="AD102" s="175"/>
      <c r="AE102" s="175"/>
    </row>
    <row r="103" ht="15.75" customHeight="1" spans="1:31">
      <c r="A103" s="186">
        <v>98</v>
      </c>
      <c r="B103" s="237" t="s">
        <v>283</v>
      </c>
      <c r="C103" s="186" t="s">
        <v>279</v>
      </c>
      <c r="D103" s="234" t="s">
        <v>284</v>
      </c>
      <c r="E103" s="235">
        <v>42</v>
      </c>
      <c r="F103" s="235">
        <v>7.93</v>
      </c>
      <c r="G103" s="236">
        <v>46220</v>
      </c>
      <c r="H103" s="236">
        <v>46261</v>
      </c>
      <c r="I103" s="231">
        <v>87033000</v>
      </c>
      <c r="J103" s="238"/>
      <c r="K103" s="193"/>
      <c r="L103" s="193"/>
      <c r="M103" s="193"/>
      <c r="N103" s="192"/>
      <c r="O103" s="193" t="s">
        <v>69</v>
      </c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</row>
    <row r="104" ht="15.75" customHeight="1" spans="1:31">
      <c r="A104" s="186">
        <v>99</v>
      </c>
      <c r="B104" s="237" t="s">
        <v>285</v>
      </c>
      <c r="C104" s="186" t="s">
        <v>286</v>
      </c>
      <c r="D104" s="234" t="s">
        <v>287</v>
      </c>
      <c r="E104" s="235">
        <v>42</v>
      </c>
      <c r="F104" s="235">
        <v>7.09</v>
      </c>
      <c r="G104" s="236">
        <v>46220</v>
      </c>
      <c r="H104" s="236">
        <v>46261</v>
      </c>
      <c r="I104" s="231">
        <v>80836000</v>
      </c>
      <c r="J104" s="238"/>
      <c r="K104" s="193"/>
      <c r="L104" s="193"/>
      <c r="M104" s="193"/>
      <c r="N104" s="192"/>
      <c r="O104" s="193" t="s">
        <v>69</v>
      </c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  <c r="AA104" s="175"/>
      <c r="AB104" s="175"/>
      <c r="AC104" s="175"/>
      <c r="AD104" s="175"/>
      <c r="AE104" s="175"/>
    </row>
    <row r="105" ht="15.75" customHeight="1" spans="1:31">
      <c r="A105" s="186">
        <v>100</v>
      </c>
      <c r="B105" s="237" t="s">
        <v>288</v>
      </c>
      <c r="C105" s="186" t="s">
        <v>137</v>
      </c>
      <c r="D105" s="234" t="s">
        <v>289</v>
      </c>
      <c r="E105" s="235">
        <v>42</v>
      </c>
      <c r="F105" s="235">
        <v>7.21</v>
      </c>
      <c r="G105" s="236">
        <v>46213</v>
      </c>
      <c r="H105" s="236">
        <v>46254</v>
      </c>
      <c r="I105" s="231">
        <v>77567000</v>
      </c>
      <c r="J105" s="238"/>
      <c r="K105" s="193"/>
      <c r="L105" s="193"/>
      <c r="M105" s="193"/>
      <c r="N105" s="192"/>
      <c r="O105" s="193" t="s">
        <v>69</v>
      </c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</row>
    <row r="106" ht="15.75" customHeight="1" spans="1:31">
      <c r="A106" s="186">
        <v>101</v>
      </c>
      <c r="B106" s="237" t="s">
        <v>290</v>
      </c>
      <c r="C106" s="186" t="s">
        <v>137</v>
      </c>
      <c r="D106" s="234" t="s">
        <v>291</v>
      </c>
      <c r="E106" s="235">
        <v>42</v>
      </c>
      <c r="F106" s="235">
        <v>10.54</v>
      </c>
      <c r="G106" s="236">
        <v>46213</v>
      </c>
      <c r="H106" s="236">
        <v>46254</v>
      </c>
      <c r="I106" s="231">
        <v>102745000</v>
      </c>
      <c r="J106" s="238"/>
      <c r="K106" s="193"/>
      <c r="L106" s="193"/>
      <c r="M106" s="193"/>
      <c r="N106" s="192"/>
      <c r="O106" s="193" t="s">
        <v>69</v>
      </c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  <c r="AA106" s="175"/>
      <c r="AB106" s="175"/>
      <c r="AC106" s="175"/>
      <c r="AD106" s="175"/>
      <c r="AE106" s="175"/>
    </row>
    <row r="107" ht="15.75" customHeight="1" spans="1:31">
      <c r="A107" s="186">
        <v>102</v>
      </c>
      <c r="B107" s="237" t="s">
        <v>292</v>
      </c>
      <c r="C107" s="186" t="s">
        <v>293</v>
      </c>
      <c r="D107" s="234" t="s">
        <v>294</v>
      </c>
      <c r="E107" s="235">
        <v>42</v>
      </c>
      <c r="F107" s="235">
        <v>6.69</v>
      </c>
      <c r="G107" s="236">
        <v>46227</v>
      </c>
      <c r="H107" s="236">
        <v>46268</v>
      </c>
      <c r="I107" s="231">
        <v>80074000</v>
      </c>
      <c r="J107" s="238"/>
      <c r="K107" s="193"/>
      <c r="L107" s="193"/>
      <c r="M107" s="193"/>
      <c r="N107" s="192"/>
      <c r="O107" s="193" t="s">
        <v>69</v>
      </c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  <c r="AA107" s="175"/>
      <c r="AB107" s="175"/>
      <c r="AC107" s="175"/>
      <c r="AD107" s="175"/>
      <c r="AE107" s="175"/>
    </row>
    <row r="108" ht="15.75" customHeight="1" spans="1:31">
      <c r="A108" s="229">
        <v>103</v>
      </c>
      <c r="B108" s="237" t="s">
        <v>295</v>
      </c>
      <c r="C108" s="186" t="s">
        <v>137</v>
      </c>
      <c r="D108" s="234" t="s">
        <v>296</v>
      </c>
      <c r="E108" s="235">
        <v>42</v>
      </c>
      <c r="F108" s="235">
        <v>5.78</v>
      </c>
      <c r="G108" s="236">
        <v>46225</v>
      </c>
      <c r="H108" s="236">
        <v>46266</v>
      </c>
      <c r="I108" s="231">
        <v>113057000</v>
      </c>
      <c r="J108" s="238"/>
      <c r="K108" s="193"/>
      <c r="L108" s="193"/>
      <c r="M108" s="193"/>
      <c r="N108" s="192"/>
      <c r="O108" s="193" t="s">
        <v>69</v>
      </c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  <c r="AA108" s="175"/>
      <c r="AB108" s="175"/>
      <c r="AC108" s="175"/>
      <c r="AD108" s="175"/>
      <c r="AE108" s="175"/>
    </row>
    <row r="109" ht="15.75" customHeight="1" spans="1:31">
      <c r="A109" s="186">
        <v>104</v>
      </c>
      <c r="B109" s="237" t="s">
        <v>297</v>
      </c>
      <c r="C109" s="186" t="s">
        <v>279</v>
      </c>
      <c r="D109" s="234" t="s">
        <v>298</v>
      </c>
      <c r="E109" s="235">
        <v>42</v>
      </c>
      <c r="F109" s="235">
        <v>8.08</v>
      </c>
      <c r="G109" s="236">
        <v>46227</v>
      </c>
      <c r="H109" s="236">
        <v>46268</v>
      </c>
      <c r="I109" s="231">
        <v>86102000</v>
      </c>
      <c r="J109" s="238"/>
      <c r="K109" s="193"/>
      <c r="L109" s="193"/>
      <c r="M109" s="193"/>
      <c r="N109" s="192"/>
      <c r="O109" s="193" t="s">
        <v>69</v>
      </c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  <c r="AA109" s="175"/>
      <c r="AB109" s="175"/>
      <c r="AC109" s="175"/>
      <c r="AD109" s="175"/>
      <c r="AE109" s="175"/>
    </row>
    <row r="110" ht="15.75" customHeight="1" spans="1:31">
      <c r="A110" s="186">
        <v>105</v>
      </c>
      <c r="B110" s="237" t="s">
        <v>299</v>
      </c>
      <c r="C110" s="186" t="s">
        <v>91</v>
      </c>
      <c r="D110" s="234" t="s">
        <v>300</v>
      </c>
      <c r="E110" s="235">
        <v>42</v>
      </c>
      <c r="F110" s="235">
        <v>6.07</v>
      </c>
      <c r="G110" s="236">
        <v>46227</v>
      </c>
      <c r="H110" s="236">
        <v>46268</v>
      </c>
      <c r="I110" s="231">
        <v>68310000</v>
      </c>
      <c r="J110" s="238"/>
      <c r="K110" s="193"/>
      <c r="L110" s="193"/>
      <c r="M110" s="193"/>
      <c r="N110" s="192"/>
      <c r="O110" s="193" t="s">
        <v>69</v>
      </c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  <c r="AA110" s="175"/>
      <c r="AB110" s="175"/>
      <c r="AC110" s="175"/>
      <c r="AD110" s="175"/>
      <c r="AE110" s="175"/>
    </row>
    <row r="111" ht="15.75" customHeight="1" spans="1:31">
      <c r="A111" s="186">
        <v>106</v>
      </c>
      <c r="B111" s="237" t="s">
        <v>301</v>
      </c>
      <c r="C111" s="186" t="s">
        <v>29</v>
      </c>
      <c r="D111" s="234" t="s">
        <v>302</v>
      </c>
      <c r="E111" s="235">
        <v>42</v>
      </c>
      <c r="F111" s="235">
        <v>3.64</v>
      </c>
      <c r="G111" s="236">
        <v>46234</v>
      </c>
      <c r="H111" s="236">
        <v>46275</v>
      </c>
      <c r="I111" s="231">
        <v>62808000</v>
      </c>
      <c r="J111" s="238"/>
      <c r="K111" s="193"/>
      <c r="L111" s="193"/>
      <c r="M111" s="193"/>
      <c r="N111" s="192"/>
      <c r="O111" s="193" t="s">
        <v>69</v>
      </c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75"/>
      <c r="AE111" s="175"/>
    </row>
    <row r="112" ht="15.75" customHeight="1" spans="1:31">
      <c r="A112" s="186">
        <v>107</v>
      </c>
      <c r="B112" s="237" t="s">
        <v>303</v>
      </c>
      <c r="C112" s="186" t="s">
        <v>17</v>
      </c>
      <c r="D112" s="234" t="s">
        <v>304</v>
      </c>
      <c r="E112" s="235">
        <v>42</v>
      </c>
      <c r="F112" s="235">
        <v>7.84</v>
      </c>
      <c r="G112" s="236">
        <v>46234</v>
      </c>
      <c r="H112" s="236">
        <v>46275</v>
      </c>
      <c r="I112" s="231">
        <v>77367000</v>
      </c>
      <c r="J112" s="238"/>
      <c r="K112" s="193"/>
      <c r="L112" s="193"/>
      <c r="M112" s="193"/>
      <c r="N112" s="192"/>
      <c r="O112" s="193" t="s">
        <v>69</v>
      </c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75"/>
      <c r="AD112" s="175"/>
      <c r="AE112" s="175"/>
    </row>
    <row r="113" ht="15.75" customHeight="1" spans="1:31">
      <c r="A113" s="186">
        <v>108</v>
      </c>
      <c r="B113" s="237" t="s">
        <v>305</v>
      </c>
      <c r="C113" s="186" t="s">
        <v>91</v>
      </c>
      <c r="D113" s="234" t="s">
        <v>306</v>
      </c>
      <c r="E113" s="235">
        <v>42</v>
      </c>
      <c r="F113" s="235">
        <v>7.55</v>
      </c>
      <c r="G113" s="236">
        <v>46227</v>
      </c>
      <c r="H113" s="236">
        <v>46268</v>
      </c>
      <c r="I113" s="231">
        <v>80775000</v>
      </c>
      <c r="J113" s="238"/>
      <c r="K113" s="193"/>
      <c r="L113" s="193"/>
      <c r="M113" s="193"/>
      <c r="N113" s="192"/>
      <c r="O113" s="193" t="s">
        <v>69</v>
      </c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</row>
    <row r="114" ht="15.75" customHeight="1" spans="1:31">
      <c r="A114" s="186">
        <v>109</v>
      </c>
      <c r="B114" s="237" t="s">
        <v>307</v>
      </c>
      <c r="C114" s="186" t="s">
        <v>308</v>
      </c>
      <c r="D114" s="234" t="s">
        <v>309</v>
      </c>
      <c r="E114" s="235">
        <v>42</v>
      </c>
      <c r="F114" s="235">
        <v>6.13</v>
      </c>
      <c r="G114" s="236">
        <v>46246</v>
      </c>
      <c r="H114" s="236">
        <v>46287</v>
      </c>
      <c r="I114" s="231">
        <v>75446000</v>
      </c>
      <c r="J114" s="238"/>
      <c r="K114" s="193"/>
      <c r="L114" s="193"/>
      <c r="M114" s="193"/>
      <c r="N114" s="192"/>
      <c r="O114" s="193" t="s">
        <v>69</v>
      </c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</row>
    <row r="115" ht="15.75" customHeight="1" spans="1:31">
      <c r="A115" s="229">
        <v>110</v>
      </c>
      <c r="B115" s="237" t="s">
        <v>310</v>
      </c>
      <c r="C115" s="186" t="s">
        <v>137</v>
      </c>
      <c r="D115" s="234" t="s">
        <v>311</v>
      </c>
      <c r="E115" s="235">
        <v>10</v>
      </c>
      <c r="F115" s="235">
        <v>0</v>
      </c>
      <c r="G115" s="236">
        <v>46244</v>
      </c>
      <c r="H115" s="236">
        <v>46263</v>
      </c>
      <c r="I115" s="231">
        <v>6795000</v>
      </c>
      <c r="J115" s="238"/>
      <c r="K115" s="193"/>
      <c r="L115" s="193"/>
      <c r="M115" s="193"/>
      <c r="N115" s="192"/>
      <c r="O115" s="193" t="s">
        <v>69</v>
      </c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</row>
    <row r="116" ht="15.75" customHeight="1" spans="1:31">
      <c r="A116" s="229">
        <v>111</v>
      </c>
      <c r="B116" s="237" t="s">
        <v>312</v>
      </c>
      <c r="C116" s="186" t="s">
        <v>29</v>
      </c>
      <c r="D116" s="234" t="s">
        <v>313</v>
      </c>
      <c r="E116" s="235">
        <v>42</v>
      </c>
      <c r="F116" s="235">
        <v>0.96</v>
      </c>
      <c r="G116" s="236">
        <v>46253</v>
      </c>
      <c r="H116" s="236">
        <v>46294</v>
      </c>
      <c r="I116" s="231">
        <v>26410000</v>
      </c>
      <c r="J116" s="238"/>
      <c r="K116" s="193"/>
      <c r="L116" s="193"/>
      <c r="M116" s="193"/>
      <c r="N116" s="192"/>
      <c r="O116" s="193" t="s">
        <v>69</v>
      </c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  <c r="AA116" s="175"/>
      <c r="AB116" s="175"/>
      <c r="AC116" s="175"/>
      <c r="AD116" s="175"/>
      <c r="AE116" s="175"/>
    </row>
    <row r="117" ht="15.75" customHeight="1" spans="1:31">
      <c r="A117" s="175"/>
      <c r="B117" s="175"/>
      <c r="C117" s="239"/>
      <c r="D117" s="240"/>
      <c r="E117" s="175"/>
      <c r="F117" s="241"/>
      <c r="G117" s="242"/>
      <c r="H117" s="243"/>
      <c r="I117" s="244"/>
      <c r="J117" s="245"/>
      <c r="K117" s="240"/>
      <c r="L117" s="240"/>
      <c r="M117" s="240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  <c r="AA117" s="175"/>
      <c r="AB117" s="175"/>
      <c r="AC117" s="175"/>
      <c r="AD117" s="175"/>
      <c r="AE117" s="175"/>
    </row>
    <row r="118" ht="15.75" customHeight="1" spans="1:31">
      <c r="A118" s="175"/>
      <c r="B118" s="175"/>
      <c r="C118" s="239"/>
      <c r="D118" s="240"/>
      <c r="E118" s="175"/>
      <c r="F118" s="241"/>
      <c r="G118" s="242"/>
      <c r="H118" s="243"/>
      <c r="I118" s="244"/>
      <c r="J118" s="245"/>
      <c r="K118" s="240"/>
      <c r="L118" s="240"/>
      <c r="M118" s="240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</row>
    <row r="119" ht="15.75" customHeight="1" spans="1:31">
      <c r="A119" s="175"/>
      <c r="B119" s="175"/>
      <c r="C119" s="239"/>
      <c r="D119" s="240"/>
      <c r="E119" s="175"/>
      <c r="F119" s="241"/>
      <c r="G119" s="242"/>
      <c r="H119" s="243"/>
      <c r="I119" s="244"/>
      <c r="J119" s="245"/>
      <c r="K119" s="240"/>
      <c r="L119" s="240"/>
      <c r="M119" s="240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</row>
    <row r="120" ht="15.75" customHeight="1" spans="1:31">
      <c r="A120" s="175"/>
      <c r="B120" s="175"/>
      <c r="C120" s="239"/>
      <c r="D120" s="240"/>
      <c r="E120" s="175"/>
      <c r="F120" s="241"/>
      <c r="G120" s="242"/>
      <c r="H120" s="243"/>
      <c r="I120" s="244"/>
      <c r="J120" s="245"/>
      <c r="K120" s="240"/>
      <c r="L120" s="240"/>
      <c r="M120" s="240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  <c r="AA120" s="175"/>
      <c r="AB120" s="175"/>
      <c r="AC120" s="175"/>
      <c r="AD120" s="175"/>
      <c r="AE120" s="175"/>
    </row>
    <row r="121" ht="15.75" customHeight="1" spans="1:31">
      <c r="A121" s="175"/>
      <c r="B121" s="175"/>
      <c r="C121" s="239"/>
      <c r="D121" s="240"/>
      <c r="E121" s="175"/>
      <c r="F121" s="241"/>
      <c r="G121" s="242"/>
      <c r="H121" s="243"/>
      <c r="I121" s="244"/>
      <c r="J121" s="245"/>
      <c r="K121" s="240"/>
      <c r="L121" s="240"/>
      <c r="M121" s="240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75"/>
      <c r="AE121" s="175"/>
    </row>
    <row r="122" ht="15.75" customHeight="1" spans="1:31">
      <c r="A122" s="175"/>
      <c r="B122" s="175"/>
      <c r="C122" s="239"/>
      <c r="D122" s="240"/>
      <c r="E122" s="175"/>
      <c r="F122" s="175"/>
      <c r="G122" s="175"/>
      <c r="H122" s="246"/>
      <c r="I122" s="247"/>
      <c r="J122" s="248"/>
      <c r="K122" s="240"/>
      <c r="L122" s="240"/>
      <c r="M122" s="240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  <c r="AA122" s="175"/>
      <c r="AB122" s="175"/>
      <c r="AC122" s="175"/>
      <c r="AD122" s="175"/>
      <c r="AE122" s="175"/>
    </row>
    <row r="123" ht="15.75" customHeight="1" spans="1:31">
      <c r="A123" s="175"/>
      <c r="B123" s="175"/>
      <c r="C123" s="239"/>
      <c r="D123" s="240"/>
      <c r="E123" s="175"/>
      <c r="F123" s="175"/>
      <c r="G123" s="175"/>
      <c r="H123" s="246"/>
      <c r="I123" s="249"/>
      <c r="J123" s="248"/>
      <c r="K123" s="240"/>
      <c r="L123" s="240"/>
      <c r="M123" s="240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  <c r="AA123" s="175"/>
      <c r="AB123" s="175"/>
      <c r="AC123" s="175"/>
      <c r="AD123" s="175"/>
      <c r="AE123" s="175"/>
    </row>
    <row r="124" ht="15.75" customHeight="1" spans="1:31">
      <c r="A124" s="175"/>
      <c r="B124" s="175"/>
      <c r="C124" s="239"/>
      <c r="D124" s="240"/>
      <c r="E124" s="175"/>
      <c r="F124" s="175"/>
      <c r="G124" s="175"/>
      <c r="H124" s="246"/>
      <c r="I124" s="247"/>
      <c r="J124" s="250"/>
      <c r="K124" s="240"/>
      <c r="L124" s="240"/>
      <c r="M124" s="240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  <c r="AA124" s="175"/>
      <c r="AB124" s="175"/>
      <c r="AC124" s="175"/>
      <c r="AD124" s="175"/>
      <c r="AE124" s="175"/>
    </row>
    <row r="125" ht="15.75" customHeight="1" spans="1:31">
      <c r="A125" s="175"/>
      <c r="B125" s="175"/>
      <c r="C125" s="239"/>
      <c r="D125" s="240"/>
      <c r="E125" s="175"/>
      <c r="F125" s="175"/>
      <c r="G125" s="175"/>
      <c r="H125" s="246"/>
      <c r="I125" s="251"/>
      <c r="J125" s="248"/>
      <c r="K125" s="240"/>
      <c r="L125" s="240"/>
      <c r="M125" s="240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  <c r="AA125" s="175"/>
      <c r="AB125" s="175"/>
      <c r="AC125" s="175"/>
      <c r="AD125" s="175"/>
      <c r="AE125" s="175"/>
    </row>
    <row r="126" ht="15.75" customHeight="1" spans="1:31">
      <c r="A126" s="175"/>
      <c r="B126" s="175"/>
      <c r="C126" s="239"/>
      <c r="D126" s="240"/>
      <c r="E126" s="175"/>
      <c r="F126" s="175"/>
      <c r="G126" s="175"/>
      <c r="H126" s="246"/>
      <c r="I126" s="249"/>
      <c r="J126" s="248"/>
      <c r="K126" s="240"/>
      <c r="L126" s="240"/>
      <c r="M126" s="240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  <c r="AA126" s="175"/>
      <c r="AB126" s="175"/>
      <c r="AC126" s="175"/>
      <c r="AD126" s="175"/>
      <c r="AE126" s="175"/>
    </row>
    <row r="127" ht="15.75" customHeight="1" spans="1:31">
      <c r="A127" s="175"/>
      <c r="B127" s="175"/>
      <c r="C127" s="239"/>
      <c r="D127" s="240"/>
      <c r="E127" s="175"/>
      <c r="F127" s="175"/>
      <c r="G127" s="175"/>
      <c r="H127" s="246"/>
      <c r="I127" s="249"/>
      <c r="J127" s="248"/>
      <c r="K127" s="240"/>
      <c r="L127" s="240"/>
      <c r="M127" s="240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  <c r="AA127" s="175"/>
      <c r="AB127" s="175"/>
      <c r="AC127" s="175"/>
      <c r="AD127" s="175"/>
      <c r="AE127" s="175"/>
    </row>
    <row r="128" ht="15.75" customHeight="1" spans="1:31">
      <c r="A128" s="175"/>
      <c r="B128" s="175"/>
      <c r="C128" s="239"/>
      <c r="D128" s="240"/>
      <c r="E128" s="175"/>
      <c r="F128" s="175"/>
      <c r="G128" s="175"/>
      <c r="H128" s="246"/>
      <c r="I128" s="249"/>
      <c r="J128" s="175"/>
      <c r="K128" s="240"/>
      <c r="L128" s="240"/>
      <c r="M128" s="240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  <c r="AA128" s="175"/>
      <c r="AB128" s="175"/>
      <c r="AC128" s="175"/>
      <c r="AD128" s="175"/>
      <c r="AE128" s="175"/>
    </row>
    <row r="129" ht="15.75" customHeight="1" spans="1:31">
      <c r="A129" s="175"/>
      <c r="B129" s="175"/>
      <c r="C129" s="239"/>
      <c r="D129" s="240"/>
      <c r="E129" s="175"/>
      <c r="F129" s="175"/>
      <c r="G129" s="175"/>
      <c r="H129" s="246"/>
      <c r="I129" s="249"/>
      <c r="J129" s="175"/>
      <c r="K129" s="240"/>
      <c r="L129" s="240"/>
      <c r="M129" s="240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  <c r="AA129" s="175"/>
      <c r="AB129" s="175"/>
      <c r="AC129" s="175"/>
      <c r="AD129" s="175"/>
      <c r="AE129" s="175"/>
    </row>
    <row r="130" ht="15.75" customHeight="1" spans="1:31">
      <c r="A130" s="175"/>
      <c r="B130" s="175"/>
      <c r="C130" s="239"/>
      <c r="D130" s="240"/>
      <c r="E130" s="175"/>
      <c r="F130" s="175"/>
      <c r="G130" s="175"/>
      <c r="H130" s="246"/>
      <c r="I130" s="249"/>
      <c r="J130" s="175"/>
      <c r="K130" s="240"/>
      <c r="L130" s="240"/>
      <c r="M130" s="240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  <c r="AA130" s="175"/>
      <c r="AB130" s="175"/>
      <c r="AC130" s="175"/>
      <c r="AD130" s="175"/>
      <c r="AE130" s="175"/>
    </row>
    <row r="131" ht="15.75" customHeight="1" spans="1:31">
      <c r="A131" s="175"/>
      <c r="B131" s="175"/>
      <c r="C131" s="239"/>
      <c r="D131" s="240"/>
      <c r="E131" s="175"/>
      <c r="F131" s="175"/>
      <c r="G131" s="175"/>
      <c r="H131" s="246"/>
      <c r="I131" s="249"/>
      <c r="J131" s="175"/>
      <c r="K131" s="240"/>
      <c r="L131" s="240"/>
      <c r="M131" s="240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  <c r="AA131" s="175"/>
      <c r="AB131" s="175"/>
      <c r="AC131" s="175"/>
      <c r="AD131" s="175"/>
      <c r="AE131" s="175"/>
    </row>
    <row r="132" ht="15.75" customHeight="1" spans="1:31">
      <c r="A132" s="175"/>
      <c r="B132" s="175"/>
      <c r="C132" s="239"/>
      <c r="D132" s="240"/>
      <c r="E132" s="175"/>
      <c r="F132" s="175"/>
      <c r="G132" s="175"/>
      <c r="H132" s="246"/>
      <c r="I132" s="249"/>
      <c r="J132" s="175"/>
      <c r="K132" s="240"/>
      <c r="L132" s="240"/>
      <c r="M132" s="240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  <c r="AA132" s="175"/>
      <c r="AB132" s="175"/>
      <c r="AC132" s="175"/>
      <c r="AD132" s="175"/>
      <c r="AE132" s="175"/>
    </row>
    <row r="133" ht="15.75" customHeight="1" spans="1:31">
      <c r="A133" s="175"/>
      <c r="B133" s="175"/>
      <c r="C133" s="239"/>
      <c r="D133" s="240"/>
      <c r="E133" s="175"/>
      <c r="F133" s="175"/>
      <c r="G133" s="175"/>
      <c r="H133" s="246"/>
      <c r="I133" s="249"/>
      <c r="J133" s="175"/>
      <c r="K133" s="240"/>
      <c r="L133" s="240"/>
      <c r="M133" s="240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  <c r="AA133" s="175"/>
      <c r="AB133" s="175"/>
      <c r="AC133" s="175"/>
      <c r="AD133" s="175"/>
      <c r="AE133" s="175"/>
    </row>
    <row r="134" ht="15.75" customHeight="1" spans="1:31">
      <c r="A134" s="175"/>
      <c r="B134" s="175"/>
      <c r="C134" s="239"/>
      <c r="D134" s="240"/>
      <c r="E134" s="175"/>
      <c r="F134" s="175"/>
      <c r="G134" s="175"/>
      <c r="H134" s="246"/>
      <c r="I134" s="249"/>
      <c r="J134" s="175"/>
      <c r="K134" s="240"/>
      <c r="L134" s="240"/>
      <c r="M134" s="240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  <c r="AA134" s="175"/>
      <c r="AB134" s="175"/>
      <c r="AC134" s="175"/>
      <c r="AD134" s="175"/>
      <c r="AE134" s="175"/>
    </row>
    <row r="135" ht="15.75" customHeight="1" spans="1:31">
      <c r="A135" s="175"/>
      <c r="B135" s="175"/>
      <c r="C135" s="239"/>
      <c r="D135" s="240"/>
      <c r="E135" s="175"/>
      <c r="F135" s="175"/>
      <c r="G135" s="175"/>
      <c r="H135" s="246"/>
      <c r="I135" s="249"/>
      <c r="J135" s="175"/>
      <c r="K135" s="240"/>
      <c r="L135" s="240"/>
      <c r="M135" s="240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  <c r="AA135" s="175"/>
      <c r="AB135" s="175"/>
      <c r="AC135" s="175"/>
      <c r="AD135" s="175"/>
      <c r="AE135" s="175"/>
    </row>
    <row r="136" ht="15.75" customHeight="1" spans="1:31">
      <c r="A136" s="175"/>
      <c r="B136" s="175"/>
      <c r="C136" s="239"/>
      <c r="D136" s="240"/>
      <c r="E136" s="175"/>
      <c r="F136" s="175"/>
      <c r="G136" s="175"/>
      <c r="H136" s="246"/>
      <c r="I136" s="249"/>
      <c r="J136" s="175"/>
      <c r="K136" s="240"/>
      <c r="L136" s="240"/>
      <c r="M136" s="240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75"/>
      <c r="AE136" s="175"/>
    </row>
    <row r="137" ht="15.75" customHeight="1" spans="1:31">
      <c r="A137" s="175"/>
      <c r="B137" s="175"/>
      <c r="C137" s="239"/>
      <c r="D137" s="240"/>
      <c r="E137" s="175"/>
      <c r="F137" s="175"/>
      <c r="G137" s="175"/>
      <c r="H137" s="246"/>
      <c r="I137" s="249"/>
      <c r="J137" s="175"/>
      <c r="K137" s="240"/>
      <c r="L137" s="240"/>
      <c r="M137" s="240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  <c r="AA137" s="175"/>
      <c r="AB137" s="175"/>
      <c r="AC137" s="175"/>
      <c r="AD137" s="175"/>
      <c r="AE137" s="175"/>
    </row>
    <row r="138" ht="15.75" customHeight="1" spans="1:31">
      <c r="A138" s="175"/>
      <c r="B138" s="175"/>
      <c r="C138" s="239"/>
      <c r="D138" s="240"/>
      <c r="E138" s="175"/>
      <c r="F138" s="175"/>
      <c r="G138" s="175"/>
      <c r="H138" s="246"/>
      <c r="I138" s="249"/>
      <c r="J138" s="175"/>
      <c r="K138" s="240"/>
      <c r="L138" s="240"/>
      <c r="M138" s="240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  <c r="AA138" s="175"/>
      <c r="AB138" s="175"/>
      <c r="AC138" s="175"/>
      <c r="AD138" s="175"/>
      <c r="AE138" s="175"/>
    </row>
    <row r="139" ht="15.75" customHeight="1" spans="1:31">
      <c r="A139" s="175"/>
      <c r="B139" s="175"/>
      <c r="C139" s="239"/>
      <c r="D139" s="240"/>
      <c r="E139" s="175"/>
      <c r="F139" s="175"/>
      <c r="G139" s="175"/>
      <c r="H139" s="246"/>
      <c r="I139" s="249"/>
      <c r="J139" s="175"/>
      <c r="K139" s="240"/>
      <c r="L139" s="240"/>
      <c r="M139" s="240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  <c r="AA139" s="175"/>
      <c r="AB139" s="175"/>
      <c r="AC139" s="175"/>
      <c r="AD139" s="175"/>
      <c r="AE139" s="175"/>
    </row>
    <row r="140" ht="15.75" customHeight="1" spans="1:31">
      <c r="A140" s="175"/>
      <c r="B140" s="175"/>
      <c r="C140" s="239"/>
      <c r="D140" s="240"/>
      <c r="E140" s="175"/>
      <c r="F140" s="175"/>
      <c r="G140" s="175"/>
      <c r="H140" s="246"/>
      <c r="I140" s="249"/>
      <c r="J140" s="175"/>
      <c r="K140" s="240"/>
      <c r="L140" s="240"/>
      <c r="M140" s="240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  <c r="AA140" s="175"/>
      <c r="AB140" s="175"/>
      <c r="AC140" s="175"/>
      <c r="AD140" s="175"/>
      <c r="AE140" s="175"/>
    </row>
    <row r="141" ht="15.75" customHeight="1" spans="1:31">
      <c r="A141" s="175"/>
      <c r="B141" s="175"/>
      <c r="C141" s="239"/>
      <c r="D141" s="240"/>
      <c r="E141" s="175"/>
      <c r="F141" s="175"/>
      <c r="G141" s="175"/>
      <c r="H141" s="246"/>
      <c r="I141" s="249"/>
      <c r="J141" s="175"/>
      <c r="K141" s="240"/>
      <c r="L141" s="240"/>
      <c r="M141" s="240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  <c r="AA141" s="175"/>
      <c r="AB141" s="175"/>
      <c r="AC141" s="175"/>
      <c r="AD141" s="175"/>
      <c r="AE141" s="175"/>
    </row>
    <row r="142" ht="15.75" customHeight="1" spans="1:31">
      <c r="A142" s="175"/>
      <c r="B142" s="175"/>
      <c r="C142" s="239"/>
      <c r="D142" s="240"/>
      <c r="E142" s="175"/>
      <c r="F142" s="175"/>
      <c r="G142" s="175"/>
      <c r="H142" s="246"/>
      <c r="I142" s="249"/>
      <c r="J142" s="175"/>
      <c r="K142" s="240"/>
      <c r="L142" s="240"/>
      <c r="M142" s="240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  <c r="AA142" s="175"/>
      <c r="AB142" s="175"/>
      <c r="AC142" s="175"/>
      <c r="AD142" s="175"/>
      <c r="AE142" s="175"/>
    </row>
    <row r="143" ht="15.75" customHeight="1" spans="1:31">
      <c r="A143" s="175"/>
      <c r="B143" s="175"/>
      <c r="C143" s="239"/>
      <c r="D143" s="240"/>
      <c r="E143" s="175"/>
      <c r="F143" s="175"/>
      <c r="G143" s="175"/>
      <c r="H143" s="246"/>
      <c r="I143" s="249"/>
      <c r="J143" s="175"/>
      <c r="K143" s="240"/>
      <c r="L143" s="240"/>
      <c r="M143" s="240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</row>
    <row r="144" ht="15.75" customHeight="1" spans="1:31">
      <c r="A144" s="175"/>
      <c r="B144" s="175"/>
      <c r="C144" s="239"/>
      <c r="D144" s="240"/>
      <c r="E144" s="175"/>
      <c r="F144" s="175"/>
      <c r="G144" s="175"/>
      <c r="H144" s="246"/>
      <c r="I144" s="249"/>
      <c r="J144" s="175"/>
      <c r="K144" s="240"/>
      <c r="L144" s="240"/>
      <c r="M144" s="240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  <c r="AA144" s="175"/>
      <c r="AB144" s="175"/>
      <c r="AC144" s="175"/>
      <c r="AD144" s="175"/>
      <c r="AE144" s="175"/>
    </row>
    <row r="145" ht="15.75" customHeight="1" spans="1:31">
      <c r="A145" s="175"/>
      <c r="B145" s="175"/>
      <c r="C145" s="239"/>
      <c r="D145" s="240"/>
      <c r="E145" s="175"/>
      <c r="F145" s="175"/>
      <c r="G145" s="175"/>
      <c r="H145" s="246"/>
      <c r="I145" s="249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  <c r="AA145" s="175"/>
      <c r="AB145" s="175"/>
      <c r="AC145" s="175"/>
      <c r="AD145" s="175"/>
      <c r="AE145" s="175"/>
    </row>
    <row r="146" ht="15.75" customHeight="1" spans="1:31">
      <c r="A146" s="175"/>
      <c r="B146" s="175"/>
      <c r="C146" s="239"/>
      <c r="D146" s="240"/>
      <c r="E146" s="175"/>
      <c r="F146" s="175"/>
      <c r="G146" s="175"/>
      <c r="H146" s="246"/>
      <c r="I146" s="249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  <c r="AA146" s="175"/>
      <c r="AB146" s="175"/>
      <c r="AC146" s="175"/>
      <c r="AD146" s="175"/>
      <c r="AE146" s="175"/>
    </row>
    <row r="147" ht="15.75" customHeight="1" spans="1:31">
      <c r="A147" s="175"/>
      <c r="B147" s="175"/>
      <c r="C147" s="239"/>
      <c r="D147" s="240"/>
      <c r="E147" s="175"/>
      <c r="F147" s="175"/>
      <c r="G147" s="175"/>
      <c r="H147" s="246"/>
      <c r="I147" s="249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  <c r="AA147" s="175"/>
      <c r="AB147" s="175"/>
      <c r="AC147" s="175"/>
      <c r="AD147" s="175"/>
      <c r="AE147" s="175"/>
    </row>
    <row r="148" ht="15.75" customHeight="1" spans="1:31">
      <c r="A148" s="175"/>
      <c r="B148" s="175"/>
      <c r="C148" s="239"/>
      <c r="D148" s="240"/>
      <c r="E148" s="175"/>
      <c r="F148" s="175"/>
      <c r="G148" s="175"/>
      <c r="H148" s="246"/>
      <c r="I148" s="249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  <c r="AA148" s="175"/>
      <c r="AB148" s="175"/>
      <c r="AC148" s="175"/>
      <c r="AD148" s="175"/>
      <c r="AE148" s="175"/>
    </row>
    <row r="149" ht="15.75" customHeight="1" spans="1:31">
      <c r="A149" s="175"/>
      <c r="B149" s="175"/>
      <c r="C149" s="239"/>
      <c r="D149" s="240"/>
      <c r="E149" s="175"/>
      <c r="F149" s="175"/>
      <c r="G149" s="175"/>
      <c r="H149" s="246"/>
      <c r="I149" s="249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75"/>
      <c r="AE149" s="175"/>
    </row>
    <row r="150" ht="15.75" customHeight="1" spans="1:31">
      <c r="A150" s="175"/>
      <c r="B150" s="175"/>
      <c r="C150" s="239"/>
      <c r="D150" s="240"/>
      <c r="E150" s="175"/>
      <c r="F150" s="175"/>
      <c r="G150" s="175"/>
      <c r="H150" s="246"/>
      <c r="I150" s="249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  <c r="AA150" s="175"/>
      <c r="AB150" s="175"/>
      <c r="AC150" s="175"/>
      <c r="AD150" s="175"/>
      <c r="AE150" s="175"/>
    </row>
    <row r="151" ht="15.75" customHeight="1" spans="1:31">
      <c r="A151" s="175"/>
      <c r="B151" s="175"/>
      <c r="C151" s="239"/>
      <c r="D151" s="240"/>
      <c r="E151" s="175"/>
      <c r="F151" s="175"/>
      <c r="G151" s="175"/>
      <c r="H151" s="246"/>
      <c r="I151" s="249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75"/>
      <c r="AE151" s="175"/>
    </row>
    <row r="152" ht="15.75" customHeight="1" spans="1:31">
      <c r="A152" s="175"/>
      <c r="B152" s="175"/>
      <c r="C152" s="239"/>
      <c r="D152" s="240"/>
      <c r="E152" s="175"/>
      <c r="F152" s="175"/>
      <c r="G152" s="175"/>
      <c r="H152" s="246"/>
      <c r="I152" s="249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75"/>
      <c r="AE152" s="175"/>
    </row>
    <row r="153" ht="15.75" customHeight="1" spans="1:31">
      <c r="A153" s="175"/>
      <c r="B153" s="175"/>
      <c r="C153" s="239"/>
      <c r="D153" s="240"/>
      <c r="E153" s="175"/>
      <c r="F153" s="175"/>
      <c r="G153" s="175"/>
      <c r="H153" s="246"/>
      <c r="I153" s="249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75"/>
      <c r="AE153" s="175"/>
    </row>
    <row r="154" ht="15.75" customHeight="1" spans="1:31">
      <c r="A154" s="175"/>
      <c r="B154" s="175"/>
      <c r="C154" s="239"/>
      <c r="D154" s="240"/>
      <c r="E154" s="175"/>
      <c r="F154" s="175"/>
      <c r="G154" s="175"/>
      <c r="H154" s="246"/>
      <c r="I154" s="249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  <c r="AA154" s="175"/>
      <c r="AB154" s="175"/>
      <c r="AC154" s="175"/>
      <c r="AD154" s="175"/>
      <c r="AE154" s="175"/>
    </row>
    <row r="155" ht="15.75" customHeight="1" spans="1:31">
      <c r="A155" s="175"/>
      <c r="B155" s="175"/>
      <c r="C155" s="239"/>
      <c r="D155" s="240"/>
      <c r="E155" s="175"/>
      <c r="F155" s="175"/>
      <c r="G155" s="175"/>
      <c r="H155" s="246"/>
      <c r="I155" s="249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  <c r="AA155" s="175"/>
      <c r="AB155" s="175"/>
      <c r="AC155" s="175"/>
      <c r="AD155" s="175"/>
      <c r="AE155" s="175"/>
    </row>
    <row r="156" ht="15.75" customHeight="1" spans="1:31">
      <c r="A156" s="175"/>
      <c r="B156" s="175"/>
      <c r="C156" s="239"/>
      <c r="D156" s="240"/>
      <c r="E156" s="175"/>
      <c r="F156" s="175"/>
      <c r="G156" s="175"/>
      <c r="H156" s="246"/>
      <c r="I156" s="249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  <c r="AA156" s="175"/>
      <c r="AB156" s="175"/>
      <c r="AC156" s="175"/>
      <c r="AD156" s="175"/>
      <c r="AE156" s="175"/>
    </row>
    <row r="157" ht="15.75" customHeight="1" spans="1:31">
      <c r="A157" s="175"/>
      <c r="B157" s="175"/>
      <c r="C157" s="239"/>
      <c r="D157" s="240"/>
      <c r="E157" s="175"/>
      <c r="F157" s="175"/>
      <c r="G157" s="175"/>
      <c r="H157" s="246"/>
      <c r="I157" s="249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  <c r="AA157" s="175"/>
      <c r="AB157" s="175"/>
      <c r="AC157" s="175"/>
      <c r="AD157" s="175"/>
      <c r="AE157" s="175"/>
    </row>
    <row r="158" ht="15.75" customHeight="1" spans="1:31">
      <c r="A158" s="175"/>
      <c r="B158" s="175"/>
      <c r="C158" s="239"/>
      <c r="D158" s="240"/>
      <c r="E158" s="175"/>
      <c r="F158" s="175"/>
      <c r="G158" s="175"/>
      <c r="H158" s="246"/>
      <c r="I158" s="249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  <c r="AA158" s="175"/>
      <c r="AB158" s="175"/>
      <c r="AC158" s="175"/>
      <c r="AD158" s="175"/>
      <c r="AE158" s="175"/>
    </row>
    <row r="159" ht="15.75" customHeight="1" spans="1:31">
      <c r="A159" s="175"/>
      <c r="B159" s="175"/>
      <c r="C159" s="239"/>
      <c r="D159" s="240"/>
      <c r="E159" s="175"/>
      <c r="F159" s="175"/>
      <c r="G159" s="175"/>
      <c r="H159" s="246"/>
      <c r="I159" s="249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  <c r="AA159" s="175"/>
      <c r="AB159" s="175"/>
      <c r="AC159" s="175"/>
      <c r="AD159" s="175"/>
      <c r="AE159" s="175"/>
    </row>
    <row r="160" ht="15.75" customHeight="1" spans="1:31">
      <c r="A160" s="175"/>
      <c r="B160" s="175"/>
      <c r="C160" s="239"/>
      <c r="D160" s="240"/>
      <c r="E160" s="175"/>
      <c r="F160" s="175"/>
      <c r="G160" s="175"/>
      <c r="H160" s="246"/>
      <c r="I160" s="249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  <c r="AA160" s="175"/>
      <c r="AB160" s="175"/>
      <c r="AC160" s="175"/>
      <c r="AD160" s="175"/>
      <c r="AE160" s="175"/>
    </row>
    <row r="161" ht="15.75" customHeight="1" spans="1:31">
      <c r="A161" s="175"/>
      <c r="B161" s="175"/>
      <c r="C161" s="239"/>
      <c r="D161" s="240"/>
      <c r="E161" s="175"/>
      <c r="F161" s="175"/>
      <c r="G161" s="175"/>
      <c r="H161" s="246"/>
      <c r="I161" s="249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  <c r="AA161" s="175"/>
      <c r="AB161" s="175"/>
      <c r="AC161" s="175"/>
      <c r="AD161" s="175"/>
      <c r="AE161" s="175"/>
    </row>
    <row r="162" ht="15.75" customHeight="1" spans="1:31">
      <c r="A162" s="175"/>
      <c r="B162" s="175"/>
      <c r="C162" s="239"/>
      <c r="D162" s="240"/>
      <c r="E162" s="175"/>
      <c r="F162" s="175"/>
      <c r="G162" s="175"/>
      <c r="H162" s="246"/>
      <c r="I162" s="249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  <c r="AA162" s="175"/>
      <c r="AB162" s="175"/>
      <c r="AC162" s="175"/>
      <c r="AD162" s="175"/>
      <c r="AE162" s="175"/>
    </row>
    <row r="163" ht="15.75" customHeight="1" spans="1:31">
      <c r="A163" s="175"/>
      <c r="B163" s="175"/>
      <c r="C163" s="239"/>
      <c r="D163" s="240"/>
      <c r="E163" s="175"/>
      <c r="F163" s="175"/>
      <c r="G163" s="175"/>
      <c r="H163" s="246"/>
      <c r="I163" s="249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</row>
    <row r="164" ht="15.75" customHeight="1" spans="1:31">
      <c r="A164" s="175"/>
      <c r="B164" s="175"/>
      <c r="C164" s="239"/>
      <c r="D164" s="240"/>
      <c r="E164" s="175"/>
      <c r="F164" s="175"/>
      <c r="G164" s="175"/>
      <c r="H164" s="246"/>
      <c r="I164" s="249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</row>
    <row r="165" ht="15.75" customHeight="1" spans="1:31">
      <c r="A165" s="175"/>
      <c r="B165" s="175"/>
      <c r="C165" s="239"/>
      <c r="D165" s="240"/>
      <c r="E165" s="175"/>
      <c r="F165" s="175"/>
      <c r="G165" s="175"/>
      <c r="H165" s="246"/>
      <c r="I165" s="249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</row>
    <row r="166" ht="15.75" customHeight="1" spans="1:31">
      <c r="A166" s="175"/>
      <c r="B166" s="175"/>
      <c r="C166" s="239"/>
      <c r="D166" s="240"/>
      <c r="E166" s="175"/>
      <c r="F166" s="175"/>
      <c r="G166" s="175"/>
      <c r="H166" s="246"/>
      <c r="I166" s="249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</row>
    <row r="167" ht="15.75" customHeight="1" spans="1:31">
      <c r="A167" s="175"/>
      <c r="B167" s="175"/>
      <c r="C167" s="239"/>
      <c r="D167" s="240"/>
      <c r="E167" s="175"/>
      <c r="F167" s="175"/>
      <c r="G167" s="175"/>
      <c r="H167" s="246"/>
      <c r="I167" s="249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  <c r="AA167" s="175"/>
      <c r="AB167" s="175"/>
      <c r="AC167" s="175"/>
      <c r="AD167" s="175"/>
      <c r="AE167" s="175"/>
    </row>
    <row r="168" ht="15.75" customHeight="1" spans="1:31">
      <c r="A168" s="175"/>
      <c r="B168" s="175"/>
      <c r="C168" s="239"/>
      <c r="D168" s="240"/>
      <c r="E168" s="175"/>
      <c r="F168" s="175"/>
      <c r="G168" s="175"/>
      <c r="H168" s="246"/>
      <c r="I168" s="249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  <c r="AA168" s="175"/>
      <c r="AB168" s="175"/>
      <c r="AC168" s="175"/>
      <c r="AD168" s="175"/>
      <c r="AE168" s="175"/>
    </row>
    <row r="169" ht="15.75" customHeight="1" spans="1:31">
      <c r="A169" s="175"/>
      <c r="B169" s="175"/>
      <c r="C169" s="239"/>
      <c r="D169" s="240"/>
      <c r="E169" s="175"/>
      <c r="F169" s="175"/>
      <c r="G169" s="175"/>
      <c r="H169" s="246"/>
      <c r="I169" s="249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  <c r="AA169" s="175"/>
      <c r="AB169" s="175"/>
      <c r="AC169" s="175"/>
      <c r="AD169" s="175"/>
      <c r="AE169" s="175"/>
    </row>
    <row r="170" ht="15.75" customHeight="1" spans="1:31">
      <c r="A170" s="175"/>
      <c r="B170" s="175"/>
      <c r="C170" s="239"/>
      <c r="D170" s="240"/>
      <c r="E170" s="175"/>
      <c r="F170" s="175"/>
      <c r="G170" s="175"/>
      <c r="H170" s="246"/>
      <c r="I170" s="249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  <c r="AA170" s="175"/>
      <c r="AB170" s="175"/>
      <c r="AC170" s="175"/>
      <c r="AD170" s="175"/>
      <c r="AE170" s="175"/>
    </row>
    <row r="171" ht="15.75" customHeight="1" spans="1:31">
      <c r="A171" s="175"/>
      <c r="B171" s="175"/>
      <c r="C171" s="239"/>
      <c r="D171" s="240"/>
      <c r="E171" s="175"/>
      <c r="F171" s="175"/>
      <c r="G171" s="175"/>
      <c r="H171" s="246"/>
      <c r="I171" s="249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</row>
    <row r="172" ht="15.75" customHeight="1" spans="1:31">
      <c r="A172" s="175"/>
      <c r="B172" s="175"/>
      <c r="C172" s="239"/>
      <c r="D172" s="240"/>
      <c r="E172" s="175"/>
      <c r="F172" s="175"/>
      <c r="G172" s="175"/>
      <c r="H172" s="246"/>
      <c r="I172" s="249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</row>
    <row r="173" ht="15.75" customHeight="1" spans="1:31">
      <c r="A173" s="175"/>
      <c r="B173" s="175"/>
      <c r="C173" s="239"/>
      <c r="D173" s="240"/>
      <c r="E173" s="175"/>
      <c r="F173" s="175"/>
      <c r="G173" s="175"/>
      <c r="H173" s="246"/>
      <c r="I173" s="249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</row>
    <row r="174" ht="15.75" customHeight="1" spans="1:31">
      <c r="A174" s="175"/>
      <c r="B174" s="175"/>
      <c r="C174" s="239"/>
      <c r="D174" s="240"/>
      <c r="E174" s="175"/>
      <c r="F174" s="175"/>
      <c r="G174" s="175"/>
      <c r="H174" s="246"/>
      <c r="I174" s="249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</row>
    <row r="175" ht="15.75" customHeight="1" spans="1:31">
      <c r="A175" s="175"/>
      <c r="B175" s="175"/>
      <c r="C175" s="239"/>
      <c r="D175" s="240"/>
      <c r="E175" s="175"/>
      <c r="F175" s="175"/>
      <c r="G175" s="175"/>
      <c r="H175" s="246"/>
      <c r="I175" s="249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</row>
    <row r="176" ht="15.75" customHeight="1" spans="1:31">
      <c r="A176" s="175"/>
      <c r="B176" s="175"/>
      <c r="C176" s="239"/>
      <c r="D176" s="240"/>
      <c r="E176" s="175"/>
      <c r="F176" s="175"/>
      <c r="G176" s="175"/>
      <c r="H176" s="246"/>
      <c r="I176" s="249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  <c r="AA176" s="175"/>
      <c r="AB176" s="175"/>
      <c r="AC176" s="175"/>
      <c r="AD176" s="175"/>
      <c r="AE176" s="175"/>
    </row>
    <row r="177" ht="15.75" customHeight="1" spans="1:31">
      <c r="A177" s="175"/>
      <c r="B177" s="175"/>
      <c r="C177" s="239"/>
      <c r="D177" s="240"/>
      <c r="E177" s="175"/>
      <c r="F177" s="175"/>
      <c r="G177" s="175"/>
      <c r="H177" s="246"/>
      <c r="I177" s="249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</row>
    <row r="178" ht="15.75" customHeight="1" spans="1:31">
      <c r="A178" s="175"/>
      <c r="B178" s="175"/>
      <c r="C178" s="239"/>
      <c r="D178" s="240"/>
      <c r="E178" s="175"/>
      <c r="F178" s="175"/>
      <c r="G178" s="175"/>
      <c r="H178" s="246"/>
      <c r="I178" s="249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  <c r="AA178" s="175"/>
      <c r="AB178" s="175"/>
      <c r="AC178" s="175"/>
      <c r="AD178" s="175"/>
      <c r="AE178" s="175"/>
    </row>
    <row r="179" ht="15.75" customHeight="1" spans="1:31">
      <c r="A179" s="175"/>
      <c r="B179" s="175"/>
      <c r="C179" s="239"/>
      <c r="D179" s="240"/>
      <c r="E179" s="175"/>
      <c r="F179" s="175"/>
      <c r="G179" s="175"/>
      <c r="H179" s="246"/>
      <c r="I179" s="249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  <c r="AA179" s="175"/>
      <c r="AB179" s="175"/>
      <c r="AC179" s="175"/>
      <c r="AD179" s="175"/>
      <c r="AE179" s="175"/>
    </row>
    <row r="180" ht="15.75" customHeight="1" spans="1:31">
      <c r="A180" s="175"/>
      <c r="B180" s="175"/>
      <c r="C180" s="239"/>
      <c r="D180" s="240"/>
      <c r="E180" s="175"/>
      <c r="F180" s="175"/>
      <c r="G180" s="175"/>
      <c r="H180" s="246"/>
      <c r="I180" s="249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  <c r="AA180" s="175"/>
      <c r="AB180" s="175"/>
      <c r="AC180" s="175"/>
      <c r="AD180" s="175"/>
      <c r="AE180" s="175"/>
    </row>
    <row r="181" ht="15.75" customHeight="1" spans="1:31">
      <c r="A181" s="175"/>
      <c r="B181" s="175"/>
      <c r="C181" s="239"/>
      <c r="D181" s="240"/>
      <c r="E181" s="175"/>
      <c r="F181" s="175"/>
      <c r="G181" s="175"/>
      <c r="H181" s="246"/>
      <c r="I181" s="249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</row>
    <row r="182" ht="15.75" customHeight="1" spans="1:31">
      <c r="A182" s="175"/>
      <c r="B182" s="175"/>
      <c r="C182" s="239"/>
      <c r="D182" s="240"/>
      <c r="E182" s="175"/>
      <c r="F182" s="175"/>
      <c r="G182" s="175"/>
      <c r="H182" s="246"/>
      <c r="I182" s="249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  <c r="AA182" s="175"/>
      <c r="AB182" s="175"/>
      <c r="AC182" s="175"/>
      <c r="AD182" s="175"/>
      <c r="AE182" s="175"/>
    </row>
    <row r="183" ht="15.75" customHeight="1" spans="1:31">
      <c r="A183" s="175"/>
      <c r="B183" s="175"/>
      <c r="C183" s="239"/>
      <c r="D183" s="240"/>
      <c r="E183" s="175"/>
      <c r="F183" s="175"/>
      <c r="G183" s="175"/>
      <c r="H183" s="246"/>
      <c r="I183" s="249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  <c r="AA183" s="175"/>
      <c r="AB183" s="175"/>
      <c r="AC183" s="175"/>
      <c r="AD183" s="175"/>
      <c r="AE183" s="175"/>
    </row>
    <row r="184" ht="15.75" customHeight="1" spans="1:31">
      <c r="A184" s="175"/>
      <c r="B184" s="175"/>
      <c r="C184" s="239"/>
      <c r="D184" s="240"/>
      <c r="E184" s="175"/>
      <c r="F184" s="175"/>
      <c r="G184" s="175"/>
      <c r="H184" s="246"/>
      <c r="I184" s="249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  <c r="AB184" s="175"/>
      <c r="AC184" s="175"/>
      <c r="AD184" s="175"/>
      <c r="AE184" s="175"/>
    </row>
    <row r="185" ht="15.75" customHeight="1" spans="1:31">
      <c r="A185" s="175"/>
      <c r="B185" s="175"/>
      <c r="C185" s="239"/>
      <c r="D185" s="240"/>
      <c r="E185" s="175"/>
      <c r="F185" s="175"/>
      <c r="G185" s="175"/>
      <c r="H185" s="246"/>
      <c r="I185" s="249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  <c r="AB185" s="175"/>
      <c r="AC185" s="175"/>
      <c r="AD185" s="175"/>
      <c r="AE185" s="175"/>
    </row>
    <row r="186" ht="15.75" customHeight="1" spans="1:31">
      <c r="A186" s="175"/>
      <c r="B186" s="175"/>
      <c r="C186" s="239"/>
      <c r="D186" s="240"/>
      <c r="E186" s="175"/>
      <c r="F186" s="175"/>
      <c r="G186" s="175"/>
      <c r="H186" s="246"/>
      <c r="I186" s="249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  <c r="AB186" s="175"/>
      <c r="AC186" s="175"/>
      <c r="AD186" s="175"/>
      <c r="AE186" s="175"/>
    </row>
    <row r="187" ht="15.75" customHeight="1" spans="1:31">
      <c r="A187" s="175"/>
      <c r="B187" s="175"/>
      <c r="C187" s="239"/>
      <c r="D187" s="240"/>
      <c r="E187" s="175"/>
      <c r="F187" s="175"/>
      <c r="G187" s="175"/>
      <c r="H187" s="246"/>
      <c r="I187" s="249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  <c r="AB187" s="175"/>
      <c r="AC187" s="175"/>
      <c r="AD187" s="175"/>
      <c r="AE187" s="175"/>
    </row>
    <row r="188" ht="15.75" customHeight="1" spans="1:31">
      <c r="A188" s="175"/>
      <c r="B188" s="175"/>
      <c r="C188" s="239"/>
      <c r="D188" s="240"/>
      <c r="E188" s="175"/>
      <c r="F188" s="175"/>
      <c r="G188" s="175"/>
      <c r="H188" s="246"/>
      <c r="I188" s="249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  <c r="AB188" s="175"/>
      <c r="AC188" s="175"/>
      <c r="AD188" s="175"/>
      <c r="AE188" s="175"/>
    </row>
    <row r="189" ht="15.75" customHeight="1" spans="1:31">
      <c r="A189" s="175"/>
      <c r="B189" s="175"/>
      <c r="C189" s="239"/>
      <c r="D189" s="240"/>
      <c r="E189" s="175"/>
      <c r="F189" s="175"/>
      <c r="G189" s="175"/>
      <c r="H189" s="246"/>
      <c r="I189" s="249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  <c r="AB189" s="175"/>
      <c r="AC189" s="175"/>
      <c r="AD189" s="175"/>
      <c r="AE189" s="175"/>
    </row>
    <row r="190" ht="15.75" customHeight="1" spans="1:31">
      <c r="A190" s="175"/>
      <c r="B190" s="175"/>
      <c r="C190" s="239"/>
      <c r="D190" s="240"/>
      <c r="E190" s="175"/>
      <c r="F190" s="175"/>
      <c r="G190" s="175"/>
      <c r="H190" s="246"/>
      <c r="I190" s="249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  <c r="AB190" s="175"/>
      <c r="AC190" s="175"/>
      <c r="AD190" s="175"/>
      <c r="AE190" s="175"/>
    </row>
    <row r="191" ht="15.75" customHeight="1" spans="1:31">
      <c r="A191" s="175"/>
      <c r="B191" s="175"/>
      <c r="C191" s="239"/>
      <c r="D191" s="240"/>
      <c r="E191" s="175"/>
      <c r="F191" s="175"/>
      <c r="G191" s="175"/>
      <c r="H191" s="246"/>
      <c r="I191" s="249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  <c r="AB191" s="175"/>
      <c r="AC191" s="175"/>
      <c r="AD191" s="175"/>
      <c r="AE191" s="175"/>
    </row>
    <row r="192" ht="15.75" customHeight="1" spans="1:31">
      <c r="A192" s="175"/>
      <c r="B192" s="175"/>
      <c r="C192" s="239"/>
      <c r="D192" s="240"/>
      <c r="E192" s="175"/>
      <c r="F192" s="175"/>
      <c r="G192" s="175"/>
      <c r="H192" s="246"/>
      <c r="I192" s="249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  <c r="AB192" s="175"/>
      <c r="AC192" s="175"/>
      <c r="AD192" s="175"/>
      <c r="AE192" s="175"/>
    </row>
    <row r="193" ht="15.75" customHeight="1" spans="1:31">
      <c r="A193" s="175"/>
      <c r="B193" s="175"/>
      <c r="C193" s="239"/>
      <c r="D193" s="240"/>
      <c r="E193" s="175"/>
      <c r="F193" s="175"/>
      <c r="G193" s="175"/>
      <c r="H193" s="246"/>
      <c r="I193" s="249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  <c r="AB193" s="175"/>
      <c r="AC193" s="175"/>
      <c r="AD193" s="175"/>
      <c r="AE193" s="175"/>
    </row>
    <row r="194" ht="15.75" customHeight="1" spans="1:31">
      <c r="A194" s="175"/>
      <c r="B194" s="175"/>
      <c r="C194" s="239"/>
      <c r="D194" s="240"/>
      <c r="E194" s="175"/>
      <c r="F194" s="175"/>
      <c r="G194" s="175"/>
      <c r="H194" s="246"/>
      <c r="I194" s="249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  <c r="AB194" s="175"/>
      <c r="AC194" s="175"/>
      <c r="AD194" s="175"/>
      <c r="AE194" s="175"/>
    </row>
    <row r="195" ht="15.75" customHeight="1" spans="1:31">
      <c r="A195" s="175"/>
      <c r="B195" s="175"/>
      <c r="C195" s="239"/>
      <c r="D195" s="240"/>
      <c r="E195" s="175"/>
      <c r="F195" s="175"/>
      <c r="G195" s="175"/>
      <c r="H195" s="246"/>
      <c r="I195" s="249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  <c r="AB195" s="175"/>
      <c r="AC195" s="175"/>
      <c r="AD195" s="175"/>
      <c r="AE195" s="175"/>
    </row>
    <row r="196" ht="15.75" customHeight="1" spans="1:31">
      <c r="A196" s="175"/>
      <c r="B196" s="175"/>
      <c r="C196" s="239"/>
      <c r="D196" s="240"/>
      <c r="E196" s="175"/>
      <c r="F196" s="175"/>
      <c r="G196" s="175"/>
      <c r="H196" s="246"/>
      <c r="I196" s="249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  <c r="AB196" s="175"/>
      <c r="AC196" s="175"/>
      <c r="AD196" s="175"/>
      <c r="AE196" s="175"/>
    </row>
    <row r="197" ht="15.75" customHeight="1" spans="1:31">
      <c r="A197" s="175"/>
      <c r="B197" s="175"/>
      <c r="C197" s="239"/>
      <c r="D197" s="240"/>
      <c r="E197" s="175"/>
      <c r="F197" s="175"/>
      <c r="G197" s="175"/>
      <c r="H197" s="246"/>
      <c r="I197" s="249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</row>
    <row r="198" ht="15.75" customHeight="1" spans="1:31">
      <c r="A198" s="175"/>
      <c r="B198" s="175"/>
      <c r="C198" s="239"/>
      <c r="D198" s="240"/>
      <c r="E198" s="175"/>
      <c r="F198" s="175"/>
      <c r="G198" s="175"/>
      <c r="H198" s="246"/>
      <c r="I198" s="249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</row>
    <row r="199" ht="15.75" customHeight="1" spans="1:31">
      <c r="A199" s="175"/>
      <c r="B199" s="175"/>
      <c r="C199" s="239"/>
      <c r="D199" s="240"/>
      <c r="E199" s="175"/>
      <c r="F199" s="175"/>
      <c r="G199" s="175"/>
      <c r="H199" s="246"/>
      <c r="I199" s="249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</row>
    <row r="200" ht="15.75" customHeight="1" spans="1:31">
      <c r="A200" s="175"/>
      <c r="B200" s="175"/>
      <c r="C200" s="239"/>
      <c r="D200" s="240"/>
      <c r="E200" s="175"/>
      <c r="F200" s="175"/>
      <c r="G200" s="175"/>
      <c r="H200" s="246"/>
      <c r="I200" s="249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</row>
    <row r="201" ht="15.75" customHeight="1" spans="1:31">
      <c r="A201" s="175"/>
      <c r="B201" s="175"/>
      <c r="C201" s="239"/>
      <c r="D201" s="240"/>
      <c r="E201" s="175"/>
      <c r="F201" s="175"/>
      <c r="G201" s="175"/>
      <c r="H201" s="246"/>
      <c r="I201" s="249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  <c r="AA201" s="175"/>
      <c r="AB201" s="175"/>
      <c r="AC201" s="175"/>
      <c r="AD201" s="175"/>
      <c r="AE201" s="175"/>
    </row>
    <row r="202" ht="15.75" customHeight="1" spans="1:31">
      <c r="A202" s="175"/>
      <c r="B202" s="175"/>
      <c r="C202" s="239"/>
      <c r="D202" s="240"/>
      <c r="E202" s="175"/>
      <c r="F202" s="175"/>
      <c r="G202" s="175"/>
      <c r="H202" s="246"/>
      <c r="I202" s="249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  <c r="AA202" s="175"/>
      <c r="AB202" s="175"/>
      <c r="AC202" s="175"/>
      <c r="AD202" s="175"/>
      <c r="AE202" s="175"/>
    </row>
    <row r="203" ht="15.75" customHeight="1" spans="1:31">
      <c r="A203" s="175"/>
      <c r="B203" s="175"/>
      <c r="C203" s="239"/>
      <c r="D203" s="240"/>
      <c r="E203" s="175"/>
      <c r="F203" s="175"/>
      <c r="G203" s="175"/>
      <c r="H203" s="246"/>
      <c r="I203" s="249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</row>
    <row r="204" ht="15.75" customHeight="1" spans="1:31">
      <c r="A204" s="175"/>
      <c r="B204" s="175"/>
      <c r="C204" s="239"/>
      <c r="D204" s="240"/>
      <c r="E204" s="175"/>
      <c r="F204" s="175"/>
      <c r="G204" s="175"/>
      <c r="H204" s="246"/>
      <c r="I204" s="249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  <c r="AA204" s="175"/>
      <c r="AB204" s="175"/>
      <c r="AC204" s="175"/>
      <c r="AD204" s="175"/>
      <c r="AE204" s="175"/>
    </row>
    <row r="205" ht="15.75" customHeight="1" spans="1:31">
      <c r="A205" s="175"/>
      <c r="B205" s="175"/>
      <c r="C205" s="239"/>
      <c r="D205" s="240"/>
      <c r="E205" s="175"/>
      <c r="F205" s="175"/>
      <c r="G205" s="175"/>
      <c r="H205" s="246"/>
      <c r="I205" s="249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  <c r="AA205" s="175"/>
      <c r="AB205" s="175"/>
      <c r="AC205" s="175"/>
      <c r="AD205" s="175"/>
      <c r="AE205" s="175"/>
    </row>
    <row r="206" ht="15.75" customHeight="1" spans="1:31">
      <c r="A206" s="175"/>
      <c r="B206" s="175"/>
      <c r="C206" s="239"/>
      <c r="D206" s="240"/>
      <c r="E206" s="175"/>
      <c r="F206" s="175"/>
      <c r="G206" s="175"/>
      <c r="H206" s="246"/>
      <c r="I206" s="249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  <c r="AA206" s="175"/>
      <c r="AB206" s="175"/>
      <c r="AC206" s="175"/>
      <c r="AD206" s="175"/>
      <c r="AE206" s="175"/>
    </row>
    <row r="207" ht="15.75" customHeight="1" spans="1:31">
      <c r="A207" s="175"/>
      <c r="B207" s="175"/>
      <c r="C207" s="239"/>
      <c r="D207" s="240"/>
      <c r="E207" s="175"/>
      <c r="F207" s="175"/>
      <c r="G207" s="175"/>
      <c r="H207" s="246"/>
      <c r="I207" s="249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  <c r="AA207" s="175"/>
      <c r="AB207" s="175"/>
      <c r="AC207" s="175"/>
      <c r="AD207" s="175"/>
      <c r="AE207" s="175"/>
    </row>
    <row r="208" ht="15.75" customHeight="1" spans="1:31">
      <c r="A208" s="175"/>
      <c r="B208" s="175"/>
      <c r="C208" s="239"/>
      <c r="D208" s="240"/>
      <c r="E208" s="175"/>
      <c r="F208" s="175"/>
      <c r="G208" s="175"/>
      <c r="H208" s="246"/>
      <c r="I208" s="249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  <c r="AA208" s="175"/>
      <c r="AB208" s="175"/>
      <c r="AC208" s="175"/>
      <c r="AD208" s="175"/>
      <c r="AE208" s="175"/>
    </row>
    <row r="209" ht="15.75" customHeight="1" spans="1:31">
      <c r="A209" s="175"/>
      <c r="B209" s="175"/>
      <c r="C209" s="239"/>
      <c r="D209" s="240"/>
      <c r="E209" s="175"/>
      <c r="F209" s="175"/>
      <c r="G209" s="175"/>
      <c r="H209" s="246"/>
      <c r="I209" s="249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  <c r="AA209" s="175"/>
      <c r="AB209" s="175"/>
      <c r="AC209" s="175"/>
      <c r="AD209" s="175"/>
      <c r="AE209" s="175"/>
    </row>
    <row r="210" ht="15.75" customHeight="1" spans="1:31">
      <c r="A210" s="175"/>
      <c r="B210" s="175"/>
      <c r="C210" s="239"/>
      <c r="D210" s="240"/>
      <c r="E210" s="175"/>
      <c r="F210" s="175"/>
      <c r="G210" s="175"/>
      <c r="H210" s="246"/>
      <c r="I210" s="249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  <c r="AA210" s="175"/>
      <c r="AB210" s="175"/>
      <c r="AC210" s="175"/>
      <c r="AD210" s="175"/>
      <c r="AE210" s="175"/>
    </row>
    <row r="211" ht="15.75" customHeight="1" spans="1:31">
      <c r="A211" s="175"/>
      <c r="B211" s="175"/>
      <c r="C211" s="239"/>
      <c r="D211" s="240"/>
      <c r="E211" s="175"/>
      <c r="F211" s="175"/>
      <c r="G211" s="175"/>
      <c r="H211" s="246"/>
      <c r="I211" s="249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  <c r="AA211" s="175"/>
      <c r="AB211" s="175"/>
      <c r="AC211" s="175"/>
      <c r="AD211" s="175"/>
      <c r="AE211" s="175"/>
    </row>
    <row r="212" ht="15.75" customHeight="1" spans="1:31">
      <c r="A212" s="175"/>
      <c r="B212" s="175"/>
      <c r="C212" s="239"/>
      <c r="D212" s="240"/>
      <c r="E212" s="175"/>
      <c r="F212" s="175"/>
      <c r="G212" s="175"/>
      <c r="H212" s="246"/>
      <c r="I212" s="249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  <c r="AA212" s="175"/>
      <c r="AB212" s="175"/>
      <c r="AC212" s="175"/>
      <c r="AD212" s="175"/>
      <c r="AE212" s="175"/>
    </row>
    <row r="213" ht="15.75" customHeight="1" spans="1:31">
      <c r="A213" s="175"/>
      <c r="B213" s="175"/>
      <c r="C213" s="239"/>
      <c r="D213" s="240"/>
      <c r="E213" s="175"/>
      <c r="F213" s="175"/>
      <c r="G213" s="175"/>
      <c r="H213" s="246"/>
      <c r="I213" s="249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  <c r="AA213" s="175"/>
      <c r="AB213" s="175"/>
      <c r="AC213" s="175"/>
      <c r="AD213" s="175"/>
      <c r="AE213" s="175"/>
    </row>
    <row r="214" ht="15.75" customHeight="1" spans="1:31">
      <c r="A214" s="175"/>
      <c r="B214" s="175"/>
      <c r="C214" s="239"/>
      <c r="D214" s="240"/>
      <c r="E214" s="175"/>
      <c r="F214" s="175"/>
      <c r="G214" s="175"/>
      <c r="H214" s="246"/>
      <c r="I214" s="249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  <c r="AA214" s="175"/>
      <c r="AB214" s="175"/>
      <c r="AC214" s="175"/>
      <c r="AD214" s="175"/>
      <c r="AE214" s="175"/>
    </row>
    <row r="215" ht="15.75" customHeight="1" spans="1:31">
      <c r="A215" s="175"/>
      <c r="B215" s="175"/>
      <c r="C215" s="239"/>
      <c r="D215" s="240"/>
      <c r="E215" s="175"/>
      <c r="F215" s="175"/>
      <c r="G215" s="175"/>
      <c r="H215" s="246"/>
      <c r="I215" s="249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  <c r="AA215" s="175"/>
      <c r="AB215" s="175"/>
      <c r="AC215" s="175"/>
      <c r="AD215" s="175"/>
      <c r="AE215" s="175"/>
    </row>
    <row r="216" ht="15.75" customHeight="1" spans="1:31">
      <c r="A216" s="175"/>
      <c r="B216" s="175"/>
      <c r="C216" s="239"/>
      <c r="D216" s="240"/>
      <c r="E216" s="175"/>
      <c r="F216" s="175"/>
      <c r="G216" s="175"/>
      <c r="H216" s="246"/>
      <c r="I216" s="249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  <c r="AA216" s="175"/>
      <c r="AB216" s="175"/>
      <c r="AC216" s="175"/>
      <c r="AD216" s="175"/>
      <c r="AE216" s="175"/>
    </row>
    <row r="217" ht="15.75" customHeight="1" spans="1:31">
      <c r="A217" s="175"/>
      <c r="B217" s="175"/>
      <c r="C217" s="239"/>
      <c r="D217" s="240"/>
      <c r="E217" s="175"/>
      <c r="F217" s="175"/>
      <c r="G217" s="175"/>
      <c r="H217" s="246"/>
      <c r="I217" s="249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  <c r="AA217" s="175"/>
      <c r="AB217" s="175"/>
      <c r="AC217" s="175"/>
      <c r="AD217" s="175"/>
      <c r="AE217" s="175"/>
    </row>
    <row r="218" ht="15.75" customHeight="1" spans="1:31">
      <c r="A218" s="175"/>
      <c r="B218" s="175"/>
      <c r="C218" s="239"/>
      <c r="D218" s="240"/>
      <c r="E218" s="175"/>
      <c r="F218" s="175"/>
      <c r="G218" s="175"/>
      <c r="H218" s="246"/>
      <c r="I218" s="249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  <c r="AA218" s="175"/>
      <c r="AB218" s="175"/>
      <c r="AC218" s="175"/>
      <c r="AD218" s="175"/>
      <c r="AE218" s="175"/>
    </row>
    <row r="219" ht="15.75" customHeight="1" spans="1:31">
      <c r="A219" s="175"/>
      <c r="B219" s="175"/>
      <c r="C219" s="239"/>
      <c r="D219" s="240"/>
      <c r="E219" s="175"/>
      <c r="F219" s="175"/>
      <c r="G219" s="175"/>
      <c r="H219" s="246"/>
      <c r="I219" s="249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  <c r="AA219" s="175"/>
      <c r="AB219" s="175"/>
      <c r="AC219" s="175"/>
      <c r="AD219" s="175"/>
      <c r="AE219" s="175"/>
    </row>
    <row r="220" ht="15.75" customHeight="1" spans="1:31">
      <c r="A220" s="175"/>
      <c r="B220" s="175"/>
      <c r="C220" s="239"/>
      <c r="D220" s="240"/>
      <c r="E220" s="175"/>
      <c r="F220" s="175"/>
      <c r="G220" s="175"/>
      <c r="H220" s="246"/>
      <c r="I220" s="249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  <c r="AA220" s="175"/>
      <c r="AB220" s="175"/>
      <c r="AC220" s="175"/>
      <c r="AD220" s="175"/>
      <c r="AE220" s="175"/>
    </row>
    <row r="221" ht="15.75" customHeight="1" spans="1:31">
      <c r="A221" s="175"/>
      <c r="B221" s="175"/>
      <c r="C221" s="239"/>
      <c r="D221" s="240"/>
      <c r="E221" s="175"/>
      <c r="F221" s="175"/>
      <c r="G221" s="175"/>
      <c r="H221" s="246"/>
      <c r="I221" s="249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  <c r="AA221" s="175"/>
      <c r="AB221" s="175"/>
      <c r="AC221" s="175"/>
      <c r="AD221" s="175"/>
      <c r="AE221" s="175"/>
    </row>
    <row r="222" ht="15.75" customHeight="1" spans="1:31">
      <c r="A222" s="175"/>
      <c r="B222" s="175"/>
      <c r="C222" s="239"/>
      <c r="D222" s="240"/>
      <c r="E222" s="175"/>
      <c r="F222" s="175"/>
      <c r="G222" s="175"/>
      <c r="H222" s="246"/>
      <c r="I222" s="249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  <c r="AA222" s="175"/>
      <c r="AB222" s="175"/>
      <c r="AC222" s="175"/>
      <c r="AD222" s="175"/>
      <c r="AE222" s="175"/>
    </row>
    <row r="223" ht="15.75" customHeight="1" spans="1:31">
      <c r="A223" s="175"/>
      <c r="B223" s="175"/>
      <c r="C223" s="239"/>
      <c r="D223" s="240"/>
      <c r="E223" s="175"/>
      <c r="F223" s="175"/>
      <c r="G223" s="175"/>
      <c r="H223" s="246"/>
      <c r="I223" s="249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  <c r="AA223" s="175"/>
      <c r="AB223" s="175"/>
      <c r="AC223" s="175"/>
      <c r="AD223" s="175"/>
      <c r="AE223" s="175"/>
    </row>
    <row r="224" ht="15.75" customHeight="1" spans="1:31">
      <c r="A224" s="175"/>
      <c r="B224" s="175"/>
      <c r="C224" s="239"/>
      <c r="D224" s="240"/>
      <c r="E224" s="175"/>
      <c r="F224" s="175"/>
      <c r="G224" s="175"/>
      <c r="H224" s="246"/>
      <c r="I224" s="249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  <c r="AA224" s="175"/>
      <c r="AB224" s="175"/>
      <c r="AC224" s="175"/>
      <c r="AD224" s="175"/>
      <c r="AE224" s="175"/>
    </row>
    <row r="225" ht="15.75" customHeight="1" spans="1:31">
      <c r="A225" s="175"/>
      <c r="B225" s="175"/>
      <c r="C225" s="239"/>
      <c r="D225" s="240"/>
      <c r="E225" s="175"/>
      <c r="F225" s="175"/>
      <c r="G225" s="175"/>
      <c r="H225" s="246"/>
      <c r="I225" s="249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  <c r="AA225" s="175"/>
      <c r="AB225" s="175"/>
      <c r="AC225" s="175"/>
      <c r="AD225" s="175"/>
      <c r="AE225" s="175"/>
    </row>
    <row r="226" ht="15.75" customHeight="1" spans="1:31">
      <c r="A226" s="175"/>
      <c r="B226" s="175"/>
      <c r="C226" s="239"/>
      <c r="D226" s="240"/>
      <c r="E226" s="175"/>
      <c r="F226" s="175"/>
      <c r="G226" s="175"/>
      <c r="H226" s="246"/>
      <c r="I226" s="249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  <c r="AA226" s="175"/>
      <c r="AB226" s="175"/>
      <c r="AC226" s="175"/>
      <c r="AD226" s="175"/>
      <c r="AE226" s="175"/>
    </row>
    <row r="227" ht="15.75" customHeight="1" spans="1:31">
      <c r="A227" s="175"/>
      <c r="B227" s="175"/>
      <c r="C227" s="239"/>
      <c r="D227" s="240"/>
      <c r="E227" s="175"/>
      <c r="F227" s="175"/>
      <c r="G227" s="175"/>
      <c r="H227" s="246"/>
      <c r="I227" s="249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  <c r="AA227" s="175"/>
      <c r="AB227" s="175"/>
      <c r="AC227" s="175"/>
      <c r="AD227" s="175"/>
      <c r="AE227" s="175"/>
    </row>
    <row r="228" ht="15.75" customHeight="1" spans="1:31">
      <c r="A228" s="175"/>
      <c r="B228" s="175"/>
      <c r="C228" s="239"/>
      <c r="D228" s="240"/>
      <c r="E228" s="175"/>
      <c r="F228" s="175"/>
      <c r="G228" s="175"/>
      <c r="H228" s="246"/>
      <c r="I228" s="249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  <c r="AA228" s="175"/>
      <c r="AB228" s="175"/>
      <c r="AC228" s="175"/>
      <c r="AD228" s="175"/>
      <c r="AE228" s="175"/>
    </row>
    <row r="229" ht="15.75" customHeight="1" spans="1:31">
      <c r="A229" s="175"/>
      <c r="B229" s="175"/>
      <c r="C229" s="239"/>
      <c r="D229" s="240"/>
      <c r="E229" s="175"/>
      <c r="F229" s="175"/>
      <c r="G229" s="175"/>
      <c r="H229" s="246"/>
      <c r="I229" s="249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  <c r="AA229" s="175"/>
      <c r="AB229" s="175"/>
      <c r="AC229" s="175"/>
      <c r="AD229" s="175"/>
      <c r="AE229" s="175"/>
    </row>
    <row r="230" ht="15.75" customHeight="1" spans="1:31">
      <c r="A230" s="175"/>
      <c r="B230" s="175"/>
      <c r="C230" s="239"/>
      <c r="D230" s="240"/>
      <c r="E230" s="175"/>
      <c r="F230" s="175"/>
      <c r="G230" s="175"/>
      <c r="H230" s="246"/>
      <c r="I230" s="249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  <c r="AA230" s="175"/>
      <c r="AB230" s="175"/>
      <c r="AC230" s="175"/>
      <c r="AD230" s="175"/>
      <c r="AE230" s="175"/>
    </row>
    <row r="231" ht="15.75" customHeight="1" spans="1:31">
      <c r="A231" s="175"/>
      <c r="B231" s="175"/>
      <c r="C231" s="239"/>
      <c r="D231" s="240"/>
      <c r="E231" s="175"/>
      <c r="F231" s="175"/>
      <c r="G231" s="175"/>
      <c r="H231" s="246"/>
      <c r="I231" s="249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  <c r="AA231" s="175"/>
      <c r="AB231" s="175"/>
      <c r="AC231" s="175"/>
      <c r="AD231" s="175"/>
      <c r="AE231" s="175"/>
    </row>
    <row r="232" ht="15.75" customHeight="1" spans="1:31">
      <c r="A232" s="175"/>
      <c r="B232" s="175"/>
      <c r="C232" s="239"/>
      <c r="D232" s="240"/>
      <c r="E232" s="175"/>
      <c r="F232" s="175"/>
      <c r="G232" s="175"/>
      <c r="H232" s="246"/>
      <c r="I232" s="249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  <c r="AA232" s="175"/>
      <c r="AB232" s="175"/>
      <c r="AC232" s="175"/>
      <c r="AD232" s="175"/>
      <c r="AE232" s="175"/>
    </row>
    <row r="233" ht="15.75" customHeight="1" spans="1:31">
      <c r="A233" s="175"/>
      <c r="B233" s="175"/>
      <c r="C233" s="239"/>
      <c r="D233" s="240"/>
      <c r="E233" s="175"/>
      <c r="F233" s="175"/>
      <c r="G233" s="175"/>
      <c r="H233" s="246"/>
      <c r="I233" s="249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</row>
    <row r="234" ht="15.75" customHeight="1" spans="1:31">
      <c r="A234" s="175"/>
      <c r="B234" s="175"/>
      <c r="C234" s="239"/>
      <c r="D234" s="240"/>
      <c r="E234" s="175"/>
      <c r="F234" s="175"/>
      <c r="G234" s="175"/>
      <c r="H234" s="246"/>
      <c r="I234" s="249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</row>
    <row r="235" ht="15.75" customHeight="1" spans="1:31">
      <c r="A235" s="175"/>
      <c r="B235" s="175"/>
      <c r="C235" s="239"/>
      <c r="D235" s="240"/>
      <c r="E235" s="175"/>
      <c r="F235" s="175"/>
      <c r="G235" s="175"/>
      <c r="H235" s="246"/>
      <c r="I235" s="249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</row>
    <row r="236" ht="15.75" customHeight="1" spans="1:31">
      <c r="A236" s="175"/>
      <c r="B236" s="175"/>
      <c r="C236" s="239"/>
      <c r="D236" s="240"/>
      <c r="E236" s="175"/>
      <c r="F236" s="175"/>
      <c r="G236" s="175"/>
      <c r="H236" s="246"/>
      <c r="I236" s="249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</row>
    <row r="237" ht="15.75" customHeight="1" spans="1:31">
      <c r="A237" s="175"/>
      <c r="B237" s="175"/>
      <c r="C237" s="239"/>
      <c r="D237" s="240"/>
      <c r="E237" s="175"/>
      <c r="F237" s="175"/>
      <c r="G237" s="175"/>
      <c r="H237" s="246"/>
      <c r="I237" s="249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  <c r="AA237" s="175"/>
      <c r="AB237" s="175"/>
      <c r="AC237" s="175"/>
      <c r="AD237" s="175"/>
      <c r="AE237" s="175"/>
    </row>
    <row r="238" ht="15.75" customHeight="1" spans="1:31">
      <c r="A238" s="175"/>
      <c r="B238" s="175"/>
      <c r="C238" s="239"/>
      <c r="D238" s="240"/>
      <c r="E238" s="175"/>
      <c r="F238" s="175"/>
      <c r="G238" s="175"/>
      <c r="H238" s="246"/>
      <c r="I238" s="249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  <c r="AA238" s="175"/>
      <c r="AB238" s="175"/>
      <c r="AC238" s="175"/>
      <c r="AD238" s="175"/>
      <c r="AE238" s="175"/>
    </row>
    <row r="239" ht="15.75" customHeight="1" spans="1:31">
      <c r="A239" s="175"/>
      <c r="B239" s="175"/>
      <c r="C239" s="239"/>
      <c r="D239" s="240"/>
      <c r="E239" s="175"/>
      <c r="F239" s="175"/>
      <c r="G239" s="175"/>
      <c r="H239" s="246"/>
      <c r="I239" s="249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  <c r="AA239" s="175"/>
      <c r="AB239" s="175"/>
      <c r="AC239" s="175"/>
      <c r="AD239" s="175"/>
      <c r="AE239" s="175"/>
    </row>
    <row r="240" ht="15.75" customHeight="1" spans="1:31">
      <c r="A240" s="175"/>
      <c r="B240" s="175"/>
      <c r="C240" s="239"/>
      <c r="D240" s="240"/>
      <c r="E240" s="175"/>
      <c r="F240" s="175"/>
      <c r="G240" s="175"/>
      <c r="H240" s="246"/>
      <c r="I240" s="249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  <c r="AA240" s="175"/>
      <c r="AB240" s="175"/>
      <c r="AC240" s="175"/>
      <c r="AD240" s="175"/>
      <c r="AE240" s="175"/>
    </row>
    <row r="241" ht="15.75" customHeight="1" spans="1:31">
      <c r="A241" s="175"/>
      <c r="B241" s="175"/>
      <c r="C241" s="239"/>
      <c r="D241" s="240"/>
      <c r="E241" s="175"/>
      <c r="F241" s="175"/>
      <c r="G241" s="175"/>
      <c r="H241" s="246"/>
      <c r="I241" s="249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  <c r="AA241" s="175"/>
      <c r="AB241" s="175"/>
      <c r="AC241" s="175"/>
      <c r="AD241" s="175"/>
      <c r="AE241" s="175"/>
    </row>
    <row r="242" ht="15.75" customHeight="1" spans="1:31">
      <c r="A242" s="175"/>
      <c r="B242" s="175"/>
      <c r="C242" s="239"/>
      <c r="D242" s="240"/>
      <c r="E242" s="175"/>
      <c r="F242" s="175"/>
      <c r="G242" s="175"/>
      <c r="H242" s="246"/>
      <c r="I242" s="249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  <c r="AA242" s="175"/>
      <c r="AB242" s="175"/>
      <c r="AC242" s="175"/>
      <c r="AD242" s="175"/>
      <c r="AE242" s="175"/>
    </row>
    <row r="243" ht="15.75" customHeight="1" spans="1:31">
      <c r="A243" s="175"/>
      <c r="B243" s="175"/>
      <c r="C243" s="239"/>
      <c r="D243" s="240"/>
      <c r="E243" s="175"/>
      <c r="F243" s="175"/>
      <c r="G243" s="175"/>
      <c r="H243" s="246"/>
      <c r="I243" s="249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  <c r="AA243" s="175"/>
      <c r="AB243" s="175"/>
      <c r="AC243" s="175"/>
      <c r="AD243" s="175"/>
      <c r="AE243" s="175"/>
    </row>
    <row r="244" ht="15.75" customHeight="1" spans="1:31">
      <c r="A244" s="175"/>
      <c r="B244" s="175"/>
      <c r="C244" s="239"/>
      <c r="D244" s="240"/>
      <c r="E244" s="175"/>
      <c r="F244" s="175"/>
      <c r="G244" s="175"/>
      <c r="H244" s="246"/>
      <c r="I244" s="249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  <c r="AA244" s="175"/>
      <c r="AB244" s="175"/>
      <c r="AC244" s="175"/>
      <c r="AD244" s="175"/>
      <c r="AE244" s="175"/>
    </row>
    <row r="245" ht="15.75" customHeight="1" spans="1:31">
      <c r="A245" s="175"/>
      <c r="B245" s="175"/>
      <c r="C245" s="239"/>
      <c r="D245" s="240"/>
      <c r="E245" s="175"/>
      <c r="F245" s="175"/>
      <c r="G245" s="175"/>
      <c r="H245" s="246"/>
      <c r="I245" s="249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  <c r="AA245" s="175"/>
      <c r="AB245" s="175"/>
      <c r="AC245" s="175"/>
      <c r="AD245" s="175"/>
      <c r="AE245" s="175"/>
    </row>
    <row r="246" ht="15.75" customHeight="1" spans="1:31">
      <c r="A246" s="175"/>
      <c r="B246" s="175"/>
      <c r="C246" s="239"/>
      <c r="D246" s="240"/>
      <c r="E246" s="175"/>
      <c r="F246" s="175"/>
      <c r="G246" s="175"/>
      <c r="H246" s="246"/>
      <c r="I246" s="249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  <c r="AA246" s="175"/>
      <c r="AB246" s="175"/>
      <c r="AC246" s="175"/>
      <c r="AD246" s="175"/>
      <c r="AE246" s="175"/>
    </row>
    <row r="247" ht="15.75" customHeight="1" spans="1:31">
      <c r="A247" s="175"/>
      <c r="B247" s="175"/>
      <c r="C247" s="239"/>
      <c r="D247" s="240"/>
      <c r="E247" s="175"/>
      <c r="F247" s="175"/>
      <c r="G247" s="175"/>
      <c r="H247" s="246"/>
      <c r="I247" s="249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  <c r="AA247" s="175"/>
      <c r="AB247" s="175"/>
      <c r="AC247" s="175"/>
      <c r="AD247" s="175"/>
      <c r="AE247" s="175"/>
    </row>
    <row r="248" ht="15.75" customHeight="1" spans="1:31">
      <c r="A248" s="175"/>
      <c r="B248" s="175"/>
      <c r="C248" s="239"/>
      <c r="D248" s="240"/>
      <c r="E248" s="175"/>
      <c r="F248" s="175"/>
      <c r="G248" s="175"/>
      <c r="H248" s="246"/>
      <c r="I248" s="249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</row>
    <row r="249" ht="15.75" customHeight="1" spans="1:31">
      <c r="A249" s="175"/>
      <c r="B249" s="175"/>
      <c r="C249" s="239"/>
      <c r="D249" s="240"/>
      <c r="E249" s="175"/>
      <c r="F249" s="175"/>
      <c r="G249" s="175"/>
      <c r="H249" s="246"/>
      <c r="I249" s="249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  <c r="AA249" s="175"/>
      <c r="AB249" s="175"/>
      <c r="AC249" s="175"/>
      <c r="AD249" s="175"/>
      <c r="AE249" s="175"/>
    </row>
    <row r="250" ht="15.75" customHeight="1" spans="1:31">
      <c r="A250" s="175"/>
      <c r="B250" s="175"/>
      <c r="C250" s="239"/>
      <c r="D250" s="240"/>
      <c r="E250" s="175"/>
      <c r="F250" s="175"/>
      <c r="G250" s="175"/>
      <c r="H250" s="246"/>
      <c r="I250" s="249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  <c r="AA250" s="175"/>
      <c r="AB250" s="175"/>
      <c r="AC250" s="175"/>
      <c r="AD250" s="175"/>
      <c r="AE250" s="175"/>
    </row>
    <row r="251" ht="15.75" customHeight="1" spans="1:31">
      <c r="A251" s="175"/>
      <c r="B251" s="175"/>
      <c r="C251" s="239"/>
      <c r="D251" s="240"/>
      <c r="E251" s="175"/>
      <c r="F251" s="175"/>
      <c r="G251" s="175"/>
      <c r="H251" s="246"/>
      <c r="I251" s="249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  <c r="AA251" s="175"/>
      <c r="AB251" s="175"/>
      <c r="AC251" s="175"/>
      <c r="AD251" s="175"/>
      <c r="AE251" s="175"/>
    </row>
    <row r="252" ht="15.75" customHeight="1" spans="1:31">
      <c r="A252" s="175"/>
      <c r="B252" s="175"/>
      <c r="C252" s="239"/>
      <c r="D252" s="240"/>
      <c r="E252" s="175"/>
      <c r="F252" s="175"/>
      <c r="G252" s="175"/>
      <c r="H252" s="246"/>
      <c r="I252" s="249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  <c r="AA252" s="175"/>
      <c r="AB252" s="175"/>
      <c r="AC252" s="175"/>
      <c r="AD252" s="175"/>
      <c r="AE252" s="175"/>
    </row>
    <row r="253" ht="15.75" customHeight="1" spans="1:31">
      <c r="A253" s="175"/>
      <c r="B253" s="175"/>
      <c r="C253" s="239"/>
      <c r="D253" s="240"/>
      <c r="E253" s="175"/>
      <c r="F253" s="175"/>
      <c r="G253" s="175"/>
      <c r="H253" s="246"/>
      <c r="I253" s="249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  <c r="AA253" s="175"/>
      <c r="AB253" s="175"/>
      <c r="AC253" s="175"/>
      <c r="AD253" s="175"/>
      <c r="AE253" s="175"/>
    </row>
    <row r="254" ht="15.75" customHeight="1" spans="1:31">
      <c r="A254" s="175"/>
      <c r="B254" s="175"/>
      <c r="C254" s="239"/>
      <c r="D254" s="240"/>
      <c r="E254" s="175"/>
      <c r="F254" s="175"/>
      <c r="G254" s="175"/>
      <c r="H254" s="246"/>
      <c r="I254" s="249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  <c r="AA254" s="175"/>
      <c r="AB254" s="175"/>
      <c r="AC254" s="175"/>
      <c r="AD254" s="175"/>
      <c r="AE254" s="175"/>
    </row>
    <row r="255" ht="15.75" customHeight="1" spans="1:31">
      <c r="A255" s="175"/>
      <c r="B255" s="175"/>
      <c r="C255" s="239"/>
      <c r="D255" s="240"/>
      <c r="E255" s="175"/>
      <c r="F255" s="175"/>
      <c r="G255" s="175"/>
      <c r="H255" s="246"/>
      <c r="I255" s="249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  <c r="AA255" s="175"/>
      <c r="AB255" s="175"/>
      <c r="AC255" s="175"/>
      <c r="AD255" s="175"/>
      <c r="AE255" s="175"/>
    </row>
    <row r="256" ht="15.75" customHeight="1" spans="1:31">
      <c r="A256" s="175"/>
      <c r="B256" s="175"/>
      <c r="C256" s="239"/>
      <c r="D256" s="240"/>
      <c r="E256" s="175"/>
      <c r="F256" s="175"/>
      <c r="G256" s="175"/>
      <c r="H256" s="246"/>
      <c r="I256" s="249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  <c r="AA256" s="175"/>
      <c r="AB256" s="175"/>
      <c r="AC256" s="175"/>
      <c r="AD256" s="175"/>
      <c r="AE256" s="175"/>
    </row>
    <row r="257" ht="15.75" customHeight="1" spans="1:31">
      <c r="A257" s="175"/>
      <c r="B257" s="175"/>
      <c r="C257" s="239"/>
      <c r="D257" s="240"/>
      <c r="E257" s="175"/>
      <c r="F257" s="175"/>
      <c r="G257" s="175"/>
      <c r="H257" s="246"/>
      <c r="I257" s="249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  <c r="AA257" s="175"/>
      <c r="AB257" s="175"/>
      <c r="AC257" s="175"/>
      <c r="AD257" s="175"/>
      <c r="AE257" s="175"/>
    </row>
    <row r="258" ht="15.75" customHeight="1" spans="1:31">
      <c r="A258" s="175"/>
      <c r="B258" s="175"/>
      <c r="C258" s="239"/>
      <c r="D258" s="240"/>
      <c r="E258" s="175"/>
      <c r="F258" s="175"/>
      <c r="G258" s="175"/>
      <c r="H258" s="246"/>
      <c r="I258" s="249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  <c r="AA258" s="175"/>
      <c r="AB258" s="175"/>
      <c r="AC258" s="175"/>
      <c r="AD258" s="175"/>
      <c r="AE258" s="175"/>
    </row>
    <row r="259" ht="15.75" customHeight="1" spans="1:31">
      <c r="A259" s="175"/>
      <c r="B259" s="175"/>
      <c r="C259" s="239"/>
      <c r="D259" s="240"/>
      <c r="E259" s="175"/>
      <c r="F259" s="175"/>
      <c r="G259" s="175"/>
      <c r="H259" s="246"/>
      <c r="I259" s="249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  <c r="AA259" s="175"/>
      <c r="AB259" s="175"/>
      <c r="AC259" s="175"/>
      <c r="AD259" s="175"/>
      <c r="AE259" s="175"/>
    </row>
    <row r="260" ht="15.75" customHeight="1" spans="1:31">
      <c r="A260" s="175"/>
      <c r="B260" s="175"/>
      <c r="C260" s="239"/>
      <c r="D260" s="240"/>
      <c r="E260" s="175"/>
      <c r="F260" s="175"/>
      <c r="G260" s="175"/>
      <c r="H260" s="246"/>
      <c r="I260" s="249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  <c r="AA260" s="175"/>
      <c r="AB260" s="175"/>
      <c r="AC260" s="175"/>
      <c r="AD260" s="175"/>
      <c r="AE260" s="175"/>
    </row>
    <row r="261" ht="15.75" customHeight="1" spans="1:31">
      <c r="A261" s="175"/>
      <c r="B261" s="175"/>
      <c r="C261" s="239"/>
      <c r="D261" s="240"/>
      <c r="E261" s="175"/>
      <c r="F261" s="175"/>
      <c r="G261" s="175"/>
      <c r="H261" s="246"/>
      <c r="I261" s="249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  <c r="AA261" s="175"/>
      <c r="AB261" s="175"/>
      <c r="AC261" s="175"/>
      <c r="AD261" s="175"/>
      <c r="AE261" s="175"/>
    </row>
    <row r="262" ht="15.75" customHeight="1" spans="1:31">
      <c r="A262" s="175"/>
      <c r="B262" s="175"/>
      <c r="C262" s="239"/>
      <c r="D262" s="240"/>
      <c r="E262" s="175"/>
      <c r="F262" s="175"/>
      <c r="G262" s="175"/>
      <c r="H262" s="246"/>
      <c r="I262" s="249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  <c r="AA262" s="175"/>
      <c r="AB262" s="175"/>
      <c r="AC262" s="175"/>
      <c r="AD262" s="175"/>
      <c r="AE262" s="175"/>
    </row>
    <row r="263" ht="15.75" customHeight="1" spans="1:31">
      <c r="A263" s="175"/>
      <c r="B263" s="175"/>
      <c r="C263" s="239"/>
      <c r="D263" s="240"/>
      <c r="E263" s="175"/>
      <c r="F263" s="175"/>
      <c r="G263" s="175"/>
      <c r="H263" s="246"/>
      <c r="I263" s="249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  <c r="AA263" s="175"/>
      <c r="AB263" s="175"/>
      <c r="AC263" s="175"/>
      <c r="AD263" s="175"/>
      <c r="AE263" s="175"/>
    </row>
    <row r="264" ht="15.75" customHeight="1" spans="1:31">
      <c r="A264" s="175"/>
      <c r="B264" s="175"/>
      <c r="C264" s="239"/>
      <c r="D264" s="240"/>
      <c r="E264" s="175"/>
      <c r="F264" s="175"/>
      <c r="G264" s="175"/>
      <c r="H264" s="246"/>
      <c r="I264" s="249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  <c r="AA264" s="175"/>
      <c r="AB264" s="175"/>
      <c r="AC264" s="175"/>
      <c r="AD264" s="175"/>
      <c r="AE264" s="175"/>
    </row>
    <row r="265" ht="15.75" customHeight="1" spans="1:31">
      <c r="A265" s="175"/>
      <c r="B265" s="175"/>
      <c r="C265" s="239"/>
      <c r="D265" s="240"/>
      <c r="E265" s="175"/>
      <c r="F265" s="175"/>
      <c r="G265" s="175"/>
      <c r="H265" s="246"/>
      <c r="I265" s="249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  <c r="AA265" s="175"/>
      <c r="AB265" s="175"/>
      <c r="AC265" s="175"/>
      <c r="AD265" s="175"/>
      <c r="AE265" s="175"/>
    </row>
    <row r="266" ht="15.75" customHeight="1" spans="1:31">
      <c r="A266" s="175"/>
      <c r="B266" s="175"/>
      <c r="C266" s="239"/>
      <c r="D266" s="240"/>
      <c r="E266" s="175"/>
      <c r="F266" s="175"/>
      <c r="G266" s="175"/>
      <c r="H266" s="246"/>
      <c r="I266" s="249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  <c r="AA266" s="175"/>
      <c r="AB266" s="175"/>
      <c r="AC266" s="175"/>
      <c r="AD266" s="175"/>
      <c r="AE266" s="175"/>
    </row>
    <row r="267" ht="15.75" customHeight="1" spans="1:31">
      <c r="A267" s="175"/>
      <c r="B267" s="175"/>
      <c r="C267" s="239"/>
      <c r="D267" s="240"/>
      <c r="E267" s="175"/>
      <c r="F267" s="175"/>
      <c r="G267" s="175"/>
      <c r="H267" s="246"/>
      <c r="I267" s="249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</row>
    <row r="268" ht="15.75" customHeight="1" spans="1:31">
      <c r="A268" s="175"/>
      <c r="B268" s="175"/>
      <c r="C268" s="239"/>
      <c r="D268" s="240"/>
      <c r="E268" s="175"/>
      <c r="F268" s="175"/>
      <c r="G268" s="175"/>
      <c r="H268" s="246"/>
      <c r="I268" s="249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</row>
    <row r="269" ht="15.75" customHeight="1" spans="1:31">
      <c r="A269" s="175"/>
      <c r="B269" s="175"/>
      <c r="C269" s="239"/>
      <c r="D269" s="240"/>
      <c r="E269" s="175"/>
      <c r="F269" s="175"/>
      <c r="G269" s="175"/>
      <c r="H269" s="246"/>
      <c r="I269" s="249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</row>
    <row r="270" ht="15.75" customHeight="1" spans="1:31">
      <c r="A270" s="175"/>
      <c r="B270" s="175"/>
      <c r="C270" s="239"/>
      <c r="D270" s="240"/>
      <c r="E270" s="175"/>
      <c r="F270" s="175"/>
      <c r="G270" s="175"/>
      <c r="H270" s="246"/>
      <c r="I270" s="249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</row>
    <row r="271" ht="15.75" customHeight="1" spans="1:31">
      <c r="A271" s="175"/>
      <c r="B271" s="175"/>
      <c r="C271" s="239"/>
      <c r="D271" s="240"/>
      <c r="E271" s="175"/>
      <c r="F271" s="175"/>
      <c r="G271" s="175"/>
      <c r="H271" s="246"/>
      <c r="I271" s="249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  <c r="AA271" s="175"/>
      <c r="AB271" s="175"/>
      <c r="AC271" s="175"/>
      <c r="AD271" s="175"/>
      <c r="AE271" s="175"/>
    </row>
    <row r="272" ht="15.75" customHeight="1" spans="1:31">
      <c r="A272" s="175"/>
      <c r="B272" s="175"/>
      <c r="C272" s="239"/>
      <c r="D272" s="240"/>
      <c r="E272" s="175"/>
      <c r="F272" s="175"/>
      <c r="G272" s="175"/>
      <c r="H272" s="246"/>
      <c r="I272" s="249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  <c r="AA272" s="175"/>
      <c r="AB272" s="175"/>
      <c r="AC272" s="175"/>
      <c r="AD272" s="175"/>
      <c r="AE272" s="175"/>
    </row>
    <row r="273" ht="15.75" customHeight="1" spans="1:31">
      <c r="A273" s="175"/>
      <c r="B273" s="175"/>
      <c r="C273" s="239"/>
      <c r="D273" s="240"/>
      <c r="E273" s="175"/>
      <c r="F273" s="175"/>
      <c r="G273" s="175"/>
      <c r="H273" s="246"/>
      <c r="I273" s="249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  <c r="AA273" s="175"/>
      <c r="AB273" s="175"/>
      <c r="AC273" s="175"/>
      <c r="AD273" s="175"/>
      <c r="AE273" s="175"/>
    </row>
    <row r="274" ht="15.75" customHeight="1" spans="1:31">
      <c r="A274" s="175"/>
      <c r="B274" s="175"/>
      <c r="C274" s="239"/>
      <c r="D274" s="240"/>
      <c r="E274" s="175"/>
      <c r="F274" s="175"/>
      <c r="G274" s="175"/>
      <c r="H274" s="246"/>
      <c r="I274" s="249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  <c r="AA274" s="175"/>
      <c r="AB274" s="175"/>
      <c r="AC274" s="175"/>
      <c r="AD274" s="175"/>
      <c r="AE274" s="175"/>
    </row>
    <row r="275" ht="15.75" customHeight="1" spans="1:31">
      <c r="A275" s="175"/>
      <c r="B275" s="175"/>
      <c r="C275" s="239"/>
      <c r="D275" s="240"/>
      <c r="E275" s="175"/>
      <c r="F275" s="175"/>
      <c r="G275" s="175"/>
      <c r="H275" s="246"/>
      <c r="I275" s="249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  <c r="AA275" s="175"/>
      <c r="AB275" s="175"/>
      <c r="AC275" s="175"/>
      <c r="AD275" s="175"/>
      <c r="AE275" s="175"/>
    </row>
    <row r="276" ht="15.75" customHeight="1" spans="1:31">
      <c r="A276" s="175"/>
      <c r="B276" s="175"/>
      <c r="C276" s="239"/>
      <c r="D276" s="240"/>
      <c r="E276" s="175"/>
      <c r="F276" s="175"/>
      <c r="G276" s="175"/>
      <c r="H276" s="246"/>
      <c r="I276" s="249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  <c r="AA276" s="175"/>
      <c r="AB276" s="175"/>
      <c r="AC276" s="175"/>
      <c r="AD276" s="175"/>
      <c r="AE276" s="175"/>
    </row>
    <row r="277" ht="15.75" customHeight="1" spans="1:31">
      <c r="A277" s="175"/>
      <c r="B277" s="175"/>
      <c r="C277" s="239"/>
      <c r="D277" s="240"/>
      <c r="E277" s="175"/>
      <c r="F277" s="175"/>
      <c r="G277" s="175"/>
      <c r="H277" s="246"/>
      <c r="I277" s="249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  <c r="AA277" s="175"/>
      <c r="AB277" s="175"/>
      <c r="AC277" s="175"/>
      <c r="AD277" s="175"/>
      <c r="AE277" s="175"/>
    </row>
    <row r="278" ht="15.75" customHeight="1" spans="1:31">
      <c r="A278" s="175"/>
      <c r="B278" s="175"/>
      <c r="C278" s="239"/>
      <c r="D278" s="240"/>
      <c r="E278" s="175"/>
      <c r="F278" s="175"/>
      <c r="G278" s="175"/>
      <c r="H278" s="246"/>
      <c r="I278" s="249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</row>
    <row r="279" ht="15.75" customHeight="1" spans="1:31">
      <c r="A279" s="175"/>
      <c r="B279" s="175"/>
      <c r="C279" s="239"/>
      <c r="D279" s="240"/>
      <c r="E279" s="175"/>
      <c r="F279" s="175"/>
      <c r="G279" s="175"/>
      <c r="H279" s="246"/>
      <c r="I279" s="249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</row>
    <row r="280" ht="15.75" customHeight="1" spans="1:31">
      <c r="A280" s="175"/>
      <c r="B280" s="175"/>
      <c r="C280" s="239"/>
      <c r="D280" s="240"/>
      <c r="E280" s="175"/>
      <c r="F280" s="175"/>
      <c r="G280" s="175"/>
      <c r="H280" s="246"/>
      <c r="I280" s="249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</row>
    <row r="281" ht="15.75" customHeight="1" spans="1:31">
      <c r="A281" s="175"/>
      <c r="B281" s="175"/>
      <c r="C281" s="239"/>
      <c r="D281" s="240"/>
      <c r="E281" s="175"/>
      <c r="F281" s="175"/>
      <c r="G281" s="175"/>
      <c r="H281" s="246"/>
      <c r="I281" s="249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</row>
    <row r="282" ht="15.75" customHeight="1" spans="1:31">
      <c r="A282" s="175"/>
      <c r="B282" s="175"/>
      <c r="C282" s="239"/>
      <c r="D282" s="240"/>
      <c r="E282" s="175"/>
      <c r="F282" s="175"/>
      <c r="G282" s="175"/>
      <c r="H282" s="246"/>
      <c r="I282" s="249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</row>
    <row r="283" ht="15.75" customHeight="1" spans="1:31">
      <c r="A283" s="175"/>
      <c r="B283" s="175"/>
      <c r="C283" s="239"/>
      <c r="D283" s="240"/>
      <c r="E283" s="175"/>
      <c r="F283" s="175"/>
      <c r="G283" s="175"/>
      <c r="H283" s="246"/>
      <c r="I283" s="249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</row>
    <row r="284" ht="15.75" customHeight="1" spans="1:31">
      <c r="A284" s="175"/>
      <c r="B284" s="175"/>
      <c r="C284" s="239"/>
      <c r="D284" s="240"/>
      <c r="E284" s="175"/>
      <c r="F284" s="175"/>
      <c r="G284" s="175"/>
      <c r="H284" s="246"/>
      <c r="I284" s="249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  <c r="AA284" s="175"/>
      <c r="AB284" s="175"/>
      <c r="AC284" s="175"/>
      <c r="AD284" s="175"/>
      <c r="AE284" s="175"/>
    </row>
    <row r="285" ht="15.75" customHeight="1" spans="1:31">
      <c r="A285" s="175"/>
      <c r="B285" s="175"/>
      <c r="C285" s="239"/>
      <c r="D285" s="240"/>
      <c r="E285" s="175"/>
      <c r="F285" s="175"/>
      <c r="G285" s="175"/>
      <c r="H285" s="246"/>
      <c r="I285" s="249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  <c r="AA285" s="175"/>
      <c r="AB285" s="175"/>
      <c r="AC285" s="175"/>
      <c r="AD285" s="175"/>
      <c r="AE285" s="175"/>
    </row>
    <row r="286" ht="15.75" customHeight="1" spans="1:31">
      <c r="A286" s="175"/>
      <c r="B286" s="175"/>
      <c r="C286" s="239"/>
      <c r="D286" s="240"/>
      <c r="E286" s="175"/>
      <c r="F286" s="175"/>
      <c r="G286" s="175"/>
      <c r="H286" s="246"/>
      <c r="I286" s="249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  <c r="AA286" s="175"/>
      <c r="AB286" s="175"/>
      <c r="AC286" s="175"/>
      <c r="AD286" s="175"/>
      <c r="AE286" s="175"/>
    </row>
    <row r="287" ht="15.75" customHeight="1" spans="1:31">
      <c r="A287" s="175"/>
      <c r="B287" s="175"/>
      <c r="C287" s="239"/>
      <c r="D287" s="240"/>
      <c r="E287" s="175"/>
      <c r="F287" s="175"/>
      <c r="G287" s="175"/>
      <c r="H287" s="246"/>
      <c r="I287" s="249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  <c r="AA287" s="175"/>
      <c r="AB287" s="175"/>
      <c r="AC287" s="175"/>
      <c r="AD287" s="175"/>
      <c r="AE287" s="175"/>
    </row>
    <row r="288" ht="15.75" customHeight="1" spans="1:31">
      <c r="A288" s="175"/>
      <c r="B288" s="175"/>
      <c r="C288" s="239"/>
      <c r="D288" s="240"/>
      <c r="E288" s="175"/>
      <c r="F288" s="175"/>
      <c r="G288" s="175"/>
      <c r="H288" s="246"/>
      <c r="I288" s="249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  <c r="AA288" s="175"/>
      <c r="AB288" s="175"/>
      <c r="AC288" s="175"/>
      <c r="AD288" s="175"/>
      <c r="AE288" s="175"/>
    </row>
    <row r="289" ht="15.75" customHeight="1" spans="1:31">
      <c r="A289" s="175"/>
      <c r="B289" s="175"/>
      <c r="C289" s="239"/>
      <c r="D289" s="240"/>
      <c r="E289" s="175"/>
      <c r="F289" s="175"/>
      <c r="G289" s="175"/>
      <c r="H289" s="246"/>
      <c r="I289" s="249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  <c r="AA289" s="175"/>
      <c r="AB289" s="175"/>
      <c r="AC289" s="175"/>
      <c r="AD289" s="175"/>
      <c r="AE289" s="175"/>
    </row>
    <row r="290" ht="15.75" customHeight="1" spans="1:31">
      <c r="A290" s="175"/>
      <c r="B290" s="175"/>
      <c r="C290" s="239"/>
      <c r="D290" s="240"/>
      <c r="E290" s="175"/>
      <c r="F290" s="175"/>
      <c r="G290" s="175"/>
      <c r="H290" s="246"/>
      <c r="I290" s="249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  <c r="AA290" s="175"/>
      <c r="AB290" s="175"/>
      <c r="AC290" s="175"/>
      <c r="AD290" s="175"/>
      <c r="AE290" s="175"/>
    </row>
    <row r="291" ht="15.75" customHeight="1" spans="1:31">
      <c r="A291" s="175"/>
      <c r="B291" s="175"/>
      <c r="C291" s="239"/>
      <c r="D291" s="240"/>
      <c r="E291" s="175"/>
      <c r="F291" s="175"/>
      <c r="G291" s="175"/>
      <c r="H291" s="246"/>
      <c r="I291" s="249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  <c r="AA291" s="175"/>
      <c r="AB291" s="175"/>
      <c r="AC291" s="175"/>
      <c r="AD291" s="175"/>
      <c r="AE291" s="175"/>
    </row>
    <row r="292" ht="15.75" customHeight="1" spans="1:31">
      <c r="A292" s="175"/>
      <c r="B292" s="175"/>
      <c r="C292" s="239"/>
      <c r="D292" s="240"/>
      <c r="E292" s="175"/>
      <c r="F292" s="175"/>
      <c r="G292" s="175"/>
      <c r="H292" s="246"/>
      <c r="I292" s="249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  <c r="AA292" s="175"/>
      <c r="AB292" s="175"/>
      <c r="AC292" s="175"/>
      <c r="AD292" s="175"/>
      <c r="AE292" s="175"/>
    </row>
    <row r="293" ht="15.75" customHeight="1" spans="1:31">
      <c r="A293" s="175"/>
      <c r="B293" s="175"/>
      <c r="C293" s="239"/>
      <c r="D293" s="240"/>
      <c r="E293" s="175"/>
      <c r="F293" s="175"/>
      <c r="G293" s="175"/>
      <c r="H293" s="246"/>
      <c r="I293" s="249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  <c r="AA293" s="175"/>
      <c r="AB293" s="175"/>
      <c r="AC293" s="175"/>
      <c r="AD293" s="175"/>
      <c r="AE293" s="175"/>
    </row>
    <row r="294" ht="15.75" customHeight="1" spans="1:31">
      <c r="A294" s="175"/>
      <c r="B294" s="175"/>
      <c r="C294" s="239"/>
      <c r="D294" s="240"/>
      <c r="E294" s="175"/>
      <c r="F294" s="175"/>
      <c r="G294" s="175"/>
      <c r="H294" s="246"/>
      <c r="I294" s="249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  <c r="AA294" s="175"/>
      <c r="AB294" s="175"/>
      <c r="AC294" s="175"/>
      <c r="AD294" s="175"/>
      <c r="AE294" s="175"/>
    </row>
    <row r="295" ht="15.75" customHeight="1" spans="1:31">
      <c r="A295" s="175"/>
      <c r="B295" s="175"/>
      <c r="C295" s="239"/>
      <c r="D295" s="240"/>
      <c r="E295" s="175"/>
      <c r="F295" s="175"/>
      <c r="G295" s="175"/>
      <c r="H295" s="246"/>
      <c r="I295" s="249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  <c r="AA295" s="175"/>
      <c r="AB295" s="175"/>
      <c r="AC295" s="175"/>
      <c r="AD295" s="175"/>
      <c r="AE295" s="175"/>
    </row>
    <row r="296" ht="15.75" customHeight="1" spans="1:31">
      <c r="A296" s="175"/>
      <c r="B296" s="175"/>
      <c r="C296" s="239"/>
      <c r="D296" s="240"/>
      <c r="E296" s="175"/>
      <c r="F296" s="175"/>
      <c r="G296" s="175"/>
      <c r="H296" s="246"/>
      <c r="I296" s="249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  <c r="AA296" s="175"/>
      <c r="AB296" s="175"/>
      <c r="AC296" s="175"/>
      <c r="AD296" s="175"/>
      <c r="AE296" s="175"/>
    </row>
    <row r="297" ht="15.75" customHeight="1" spans="1:31">
      <c r="A297" s="175"/>
      <c r="B297" s="175"/>
      <c r="C297" s="239"/>
      <c r="D297" s="240"/>
      <c r="E297" s="175"/>
      <c r="F297" s="175"/>
      <c r="G297" s="175"/>
      <c r="H297" s="246"/>
      <c r="I297" s="249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  <c r="AA297" s="175"/>
      <c r="AB297" s="175"/>
      <c r="AC297" s="175"/>
      <c r="AD297" s="175"/>
      <c r="AE297" s="175"/>
    </row>
    <row r="298" ht="15.75" customHeight="1" spans="1:31">
      <c r="A298" s="175"/>
      <c r="B298" s="175"/>
      <c r="C298" s="239"/>
      <c r="D298" s="240"/>
      <c r="E298" s="175"/>
      <c r="F298" s="175"/>
      <c r="G298" s="175"/>
      <c r="H298" s="246"/>
      <c r="I298" s="249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  <c r="AA298" s="175"/>
      <c r="AB298" s="175"/>
      <c r="AC298" s="175"/>
      <c r="AD298" s="175"/>
      <c r="AE298" s="175"/>
    </row>
    <row r="299" ht="15.75" customHeight="1" spans="1:31">
      <c r="A299" s="175"/>
      <c r="B299" s="175"/>
      <c r="C299" s="239"/>
      <c r="D299" s="240"/>
      <c r="E299" s="175"/>
      <c r="F299" s="175"/>
      <c r="G299" s="175"/>
      <c r="H299" s="246"/>
      <c r="I299" s="249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  <c r="AA299" s="175"/>
      <c r="AB299" s="175"/>
      <c r="AC299" s="175"/>
      <c r="AD299" s="175"/>
      <c r="AE299" s="175"/>
    </row>
    <row r="300" ht="15.75" customHeight="1" spans="1:31">
      <c r="A300" s="175"/>
      <c r="B300" s="175"/>
      <c r="C300" s="239"/>
      <c r="D300" s="240"/>
      <c r="E300" s="175"/>
      <c r="F300" s="175"/>
      <c r="G300" s="175"/>
      <c r="H300" s="246"/>
      <c r="I300" s="249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  <c r="AA300" s="175"/>
      <c r="AB300" s="175"/>
      <c r="AC300" s="175"/>
      <c r="AD300" s="175"/>
      <c r="AE300" s="175"/>
    </row>
    <row r="301" ht="15.75" customHeight="1" spans="1:31">
      <c r="A301" s="175"/>
      <c r="B301" s="175"/>
      <c r="C301" s="239"/>
      <c r="D301" s="240"/>
      <c r="E301" s="175"/>
      <c r="F301" s="175"/>
      <c r="G301" s="175"/>
      <c r="H301" s="246"/>
      <c r="I301" s="249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  <c r="AA301" s="175"/>
      <c r="AB301" s="175"/>
      <c r="AC301" s="175"/>
      <c r="AD301" s="175"/>
      <c r="AE301" s="175"/>
    </row>
    <row r="302" ht="15.75" customHeight="1" spans="1:31">
      <c r="A302" s="175"/>
      <c r="B302" s="175"/>
      <c r="C302" s="239"/>
      <c r="D302" s="240"/>
      <c r="E302" s="175"/>
      <c r="F302" s="175"/>
      <c r="G302" s="175"/>
      <c r="H302" s="246"/>
      <c r="I302" s="249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  <c r="AA302" s="175"/>
      <c r="AB302" s="175"/>
      <c r="AC302" s="175"/>
      <c r="AD302" s="175"/>
      <c r="AE302" s="175"/>
    </row>
    <row r="303" ht="15.75" customHeight="1" spans="1:31">
      <c r="A303" s="175"/>
      <c r="B303" s="175"/>
      <c r="C303" s="239"/>
      <c r="D303" s="240"/>
      <c r="E303" s="175"/>
      <c r="F303" s="175"/>
      <c r="G303" s="175"/>
      <c r="H303" s="246"/>
      <c r="I303" s="249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  <c r="AA303" s="175"/>
      <c r="AB303" s="175"/>
      <c r="AC303" s="175"/>
      <c r="AD303" s="175"/>
      <c r="AE303" s="175"/>
    </row>
    <row r="304" ht="15.75" customHeight="1" spans="1:31">
      <c r="A304" s="175"/>
      <c r="B304" s="175"/>
      <c r="C304" s="239"/>
      <c r="D304" s="240"/>
      <c r="E304" s="175"/>
      <c r="F304" s="175"/>
      <c r="G304" s="175"/>
      <c r="H304" s="246"/>
      <c r="I304" s="249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  <c r="AA304" s="175"/>
      <c r="AB304" s="175"/>
      <c r="AC304" s="175"/>
      <c r="AD304" s="175"/>
      <c r="AE304" s="175"/>
    </row>
    <row r="305" ht="15.75" customHeight="1" spans="1:31">
      <c r="A305" s="175"/>
      <c r="B305" s="175"/>
      <c r="C305" s="239"/>
      <c r="D305" s="240"/>
      <c r="E305" s="175"/>
      <c r="F305" s="175"/>
      <c r="G305" s="175"/>
      <c r="H305" s="246"/>
      <c r="I305" s="249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  <c r="AA305" s="175"/>
      <c r="AB305" s="175"/>
      <c r="AC305" s="175"/>
      <c r="AD305" s="175"/>
      <c r="AE305" s="175"/>
    </row>
    <row r="306" ht="15.75" customHeight="1" spans="1:31">
      <c r="A306" s="175"/>
      <c r="B306" s="175"/>
      <c r="C306" s="239"/>
      <c r="D306" s="240"/>
      <c r="E306" s="175"/>
      <c r="F306" s="175"/>
      <c r="G306" s="175"/>
      <c r="H306" s="246"/>
      <c r="I306" s="249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  <c r="AA306" s="175"/>
      <c r="AB306" s="175"/>
      <c r="AC306" s="175"/>
      <c r="AD306" s="175"/>
      <c r="AE306" s="175"/>
    </row>
    <row r="307" ht="15.75" customHeight="1" spans="1:31">
      <c r="A307" s="175"/>
      <c r="B307" s="175"/>
      <c r="C307" s="239"/>
      <c r="D307" s="240"/>
      <c r="E307" s="175"/>
      <c r="F307" s="175"/>
      <c r="G307" s="175"/>
      <c r="H307" s="246"/>
      <c r="I307" s="249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  <c r="AA307" s="175"/>
      <c r="AB307" s="175"/>
      <c r="AC307" s="175"/>
      <c r="AD307" s="175"/>
      <c r="AE307" s="175"/>
    </row>
    <row r="308" ht="15.75" customHeight="1" spans="1:31">
      <c r="A308" s="175"/>
      <c r="B308" s="175"/>
      <c r="C308" s="239"/>
      <c r="D308" s="240"/>
      <c r="E308" s="175"/>
      <c r="F308" s="175"/>
      <c r="G308" s="175"/>
      <c r="H308" s="246"/>
      <c r="I308" s="249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  <c r="AA308" s="175"/>
      <c r="AB308" s="175"/>
      <c r="AC308" s="175"/>
      <c r="AD308" s="175"/>
      <c r="AE308" s="175"/>
    </row>
    <row r="309" ht="15.75" customHeight="1" spans="1:31">
      <c r="A309" s="175"/>
      <c r="B309" s="175"/>
      <c r="C309" s="239"/>
      <c r="D309" s="240"/>
      <c r="E309" s="175"/>
      <c r="F309" s="175"/>
      <c r="G309" s="175"/>
      <c r="H309" s="246"/>
      <c r="I309" s="249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  <c r="AA309" s="175"/>
      <c r="AB309" s="175"/>
      <c r="AC309" s="175"/>
      <c r="AD309" s="175"/>
      <c r="AE309" s="175"/>
    </row>
    <row r="310" ht="15.75" customHeight="1" spans="1:31">
      <c r="A310" s="175"/>
      <c r="B310" s="175"/>
      <c r="C310" s="239"/>
      <c r="D310" s="240"/>
      <c r="E310" s="175"/>
      <c r="F310" s="175"/>
      <c r="G310" s="175"/>
      <c r="H310" s="246"/>
      <c r="I310" s="249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  <c r="AA310" s="175"/>
      <c r="AB310" s="175"/>
      <c r="AC310" s="175"/>
      <c r="AD310" s="175"/>
      <c r="AE310" s="175"/>
    </row>
    <row r="311" ht="15.75" customHeight="1" spans="1:31">
      <c r="A311" s="175"/>
      <c r="B311" s="175"/>
      <c r="C311" s="239"/>
      <c r="D311" s="240"/>
      <c r="E311" s="175"/>
      <c r="F311" s="175"/>
      <c r="G311" s="175"/>
      <c r="H311" s="246"/>
      <c r="I311" s="249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  <c r="AA311" s="175"/>
      <c r="AB311" s="175"/>
      <c r="AC311" s="175"/>
      <c r="AD311" s="175"/>
      <c r="AE311" s="175"/>
    </row>
    <row r="312" ht="15.75" customHeight="1" spans="1:31">
      <c r="A312" s="175"/>
      <c r="B312" s="175"/>
      <c r="C312" s="239"/>
      <c r="D312" s="240"/>
      <c r="E312" s="175"/>
      <c r="F312" s="175"/>
      <c r="G312" s="175"/>
      <c r="H312" s="246"/>
      <c r="I312" s="249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  <c r="AA312" s="175"/>
      <c r="AB312" s="175"/>
      <c r="AC312" s="175"/>
      <c r="AD312" s="175"/>
      <c r="AE312" s="175"/>
    </row>
    <row r="313" ht="15.75" customHeight="1" spans="1:31">
      <c r="A313" s="175"/>
      <c r="B313" s="175"/>
      <c r="C313" s="239"/>
      <c r="D313" s="240"/>
      <c r="E313" s="175"/>
      <c r="F313" s="175"/>
      <c r="G313" s="175"/>
      <c r="H313" s="246"/>
      <c r="I313" s="249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  <c r="AA313" s="175"/>
      <c r="AB313" s="175"/>
      <c r="AC313" s="175"/>
      <c r="AD313" s="175"/>
      <c r="AE313" s="175"/>
    </row>
    <row r="314" ht="15.75" customHeight="1" spans="1:31">
      <c r="A314" s="175"/>
      <c r="B314" s="175"/>
      <c r="C314" s="239"/>
      <c r="D314" s="240"/>
      <c r="E314" s="175"/>
      <c r="F314" s="175"/>
      <c r="G314" s="175"/>
      <c r="H314" s="246"/>
      <c r="I314" s="249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  <c r="AA314" s="175"/>
      <c r="AB314" s="175"/>
      <c r="AC314" s="175"/>
      <c r="AD314" s="175"/>
      <c r="AE314" s="175"/>
    </row>
    <row r="315" ht="15.75" customHeight="1" spans="1:31">
      <c r="A315" s="175"/>
      <c r="B315" s="175"/>
      <c r="C315" s="239"/>
      <c r="D315" s="240"/>
      <c r="E315" s="175"/>
      <c r="F315" s="175"/>
      <c r="G315" s="175"/>
      <c r="H315" s="246"/>
      <c r="I315" s="249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</row>
    <row r="316" ht="15.75" customHeight="1" spans="1:31">
      <c r="A316" s="175"/>
      <c r="B316" s="175"/>
      <c r="C316" s="239"/>
      <c r="D316" s="240"/>
      <c r="E316" s="175"/>
      <c r="F316" s="175"/>
      <c r="G316" s="175"/>
      <c r="H316" s="246"/>
      <c r="I316" s="249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</row>
    <row r="317" ht="15.75" customHeight="1" spans="1:31">
      <c r="A317" s="175"/>
      <c r="B317" s="175"/>
      <c r="C317" s="239"/>
      <c r="D317" s="240"/>
      <c r="E317" s="175"/>
      <c r="F317" s="175"/>
      <c r="G317" s="175"/>
      <c r="H317" s="246"/>
      <c r="I317" s="249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</row>
    <row r="318" ht="15.75" customHeight="1" spans="1:31">
      <c r="A318" s="175"/>
      <c r="B318" s="175"/>
      <c r="C318" s="239"/>
      <c r="D318" s="240"/>
      <c r="E318" s="175"/>
      <c r="F318" s="175"/>
      <c r="G318" s="175"/>
      <c r="H318" s="246"/>
      <c r="I318" s="249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</row>
    <row r="319" ht="15.75" customHeight="1" spans="1:31">
      <c r="A319" s="175"/>
      <c r="B319" s="175"/>
      <c r="C319" s="239"/>
      <c r="D319" s="240"/>
      <c r="E319" s="175"/>
      <c r="F319" s="175"/>
      <c r="G319" s="175"/>
      <c r="H319" s="246"/>
      <c r="I319" s="249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  <c r="AA319" s="175"/>
      <c r="AB319" s="175"/>
      <c r="AC319" s="175"/>
      <c r="AD319" s="175"/>
      <c r="AE319" s="175"/>
    </row>
    <row r="320" ht="15.75" customHeight="1" spans="1:31">
      <c r="A320" s="175"/>
      <c r="B320" s="175"/>
      <c r="C320" s="239"/>
      <c r="D320" s="240"/>
      <c r="E320" s="175"/>
      <c r="F320" s="175"/>
      <c r="G320" s="175"/>
      <c r="H320" s="246"/>
      <c r="I320" s="249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  <c r="AA320" s="175"/>
      <c r="AB320" s="175"/>
      <c r="AC320" s="175"/>
      <c r="AD320" s="175"/>
      <c r="AE320" s="175"/>
    </row>
    <row r="321" ht="15.75" customHeight="1" spans="1:31">
      <c r="A321" s="175"/>
      <c r="B321" s="175"/>
      <c r="C321" s="239"/>
      <c r="D321" s="240"/>
      <c r="E321" s="175"/>
      <c r="F321" s="175"/>
      <c r="G321" s="175"/>
      <c r="H321" s="246"/>
      <c r="I321" s="249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  <c r="AA321" s="175"/>
      <c r="AB321" s="175"/>
      <c r="AC321" s="175"/>
      <c r="AD321" s="175"/>
      <c r="AE321" s="175"/>
    </row>
    <row r="322" ht="15.75" customHeight="1" spans="1:31">
      <c r="A322" s="175"/>
      <c r="B322" s="175"/>
      <c r="C322" s="239"/>
      <c r="D322" s="240"/>
      <c r="E322" s="175"/>
      <c r="F322" s="175"/>
      <c r="G322" s="175"/>
      <c r="H322" s="246"/>
      <c r="I322" s="249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  <c r="AA322" s="175"/>
      <c r="AB322" s="175"/>
      <c r="AC322" s="175"/>
      <c r="AD322" s="175"/>
      <c r="AE322" s="175"/>
    </row>
    <row r="323" ht="15.75" customHeight="1" spans="1:31">
      <c r="A323" s="175"/>
      <c r="B323" s="175"/>
      <c r="C323" s="239"/>
      <c r="D323" s="240"/>
      <c r="E323" s="175"/>
      <c r="F323" s="175"/>
      <c r="G323" s="175"/>
      <c r="H323" s="246"/>
      <c r="I323" s="249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  <c r="AA323" s="175"/>
      <c r="AB323" s="175"/>
      <c r="AC323" s="175"/>
      <c r="AD323" s="175"/>
      <c r="AE323" s="175"/>
    </row>
    <row r="324" ht="15.75" customHeight="1" spans="1:31">
      <c r="A324" s="175"/>
      <c r="B324" s="175"/>
      <c r="C324" s="239"/>
      <c r="D324" s="240"/>
      <c r="E324" s="175"/>
      <c r="F324" s="175"/>
      <c r="G324" s="175"/>
      <c r="H324" s="246"/>
      <c r="I324" s="249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  <c r="AA324" s="175"/>
      <c r="AB324" s="175"/>
      <c r="AC324" s="175"/>
      <c r="AD324" s="175"/>
      <c r="AE324" s="175"/>
    </row>
    <row r="325" ht="15.75" customHeight="1" spans="1:31">
      <c r="A325" s="175"/>
      <c r="B325" s="175"/>
      <c r="C325" s="239"/>
      <c r="D325" s="240"/>
      <c r="E325" s="175"/>
      <c r="F325" s="175"/>
      <c r="G325" s="175"/>
      <c r="H325" s="246"/>
      <c r="I325" s="249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  <c r="AA325" s="175"/>
      <c r="AB325" s="175"/>
      <c r="AC325" s="175"/>
      <c r="AD325" s="175"/>
      <c r="AE325" s="175"/>
    </row>
    <row r="326" ht="15.75" customHeight="1" spans="1:31">
      <c r="A326" s="175"/>
      <c r="B326" s="175"/>
      <c r="C326" s="239"/>
      <c r="D326" s="240"/>
      <c r="E326" s="175"/>
      <c r="F326" s="175"/>
      <c r="G326" s="175"/>
      <c r="H326" s="246"/>
      <c r="I326" s="249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  <c r="AA326" s="175"/>
      <c r="AB326" s="175"/>
      <c r="AC326" s="175"/>
      <c r="AD326" s="175"/>
      <c r="AE326" s="175"/>
    </row>
    <row r="327" ht="15.75" customHeight="1" spans="1:31">
      <c r="A327" s="175"/>
      <c r="B327" s="175"/>
      <c r="C327" s="239"/>
      <c r="D327" s="240"/>
      <c r="E327" s="175"/>
      <c r="F327" s="175"/>
      <c r="G327" s="175"/>
      <c r="H327" s="246"/>
      <c r="I327" s="249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  <c r="AA327" s="175"/>
      <c r="AB327" s="175"/>
      <c r="AC327" s="175"/>
      <c r="AD327" s="175"/>
      <c r="AE327" s="175"/>
    </row>
    <row r="328" ht="15.75" customHeight="1" spans="1:31">
      <c r="A328" s="175"/>
      <c r="B328" s="175"/>
      <c r="C328" s="239"/>
      <c r="D328" s="240"/>
      <c r="E328" s="175"/>
      <c r="F328" s="175"/>
      <c r="G328" s="175"/>
      <c r="H328" s="246"/>
      <c r="I328" s="249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  <c r="AA328" s="175"/>
      <c r="AB328" s="175"/>
      <c r="AC328" s="175"/>
      <c r="AD328" s="175"/>
      <c r="AE328" s="175"/>
    </row>
    <row r="329" ht="15.75" customHeight="1" spans="1:31">
      <c r="A329" s="175"/>
      <c r="B329" s="175"/>
      <c r="C329" s="239"/>
      <c r="D329" s="240"/>
      <c r="E329" s="175"/>
      <c r="F329" s="175"/>
      <c r="G329" s="175"/>
      <c r="H329" s="246"/>
      <c r="I329" s="249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  <c r="AA329" s="175"/>
      <c r="AB329" s="175"/>
      <c r="AC329" s="175"/>
      <c r="AD329" s="175"/>
      <c r="AE329" s="175"/>
    </row>
    <row r="330" ht="15.75" customHeight="1" spans="1:31">
      <c r="A330" s="175"/>
      <c r="B330" s="175"/>
      <c r="C330" s="239"/>
      <c r="D330" s="240"/>
      <c r="E330" s="175"/>
      <c r="F330" s="175"/>
      <c r="G330" s="175"/>
      <c r="H330" s="246"/>
      <c r="I330" s="249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  <c r="AA330" s="175"/>
      <c r="AB330" s="175"/>
      <c r="AC330" s="175"/>
      <c r="AD330" s="175"/>
      <c r="AE330" s="175"/>
    </row>
    <row r="331" ht="15.75" customHeight="1" spans="1:31">
      <c r="A331" s="175"/>
      <c r="B331" s="175"/>
      <c r="C331" s="239"/>
      <c r="D331" s="240"/>
      <c r="E331" s="175"/>
      <c r="F331" s="175"/>
      <c r="G331" s="175"/>
      <c r="H331" s="246"/>
      <c r="I331" s="249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  <c r="AA331" s="175"/>
      <c r="AB331" s="175"/>
      <c r="AC331" s="175"/>
      <c r="AD331" s="175"/>
      <c r="AE331" s="175"/>
    </row>
    <row r="332" ht="15.75" customHeight="1" spans="1:31">
      <c r="A332" s="175"/>
      <c r="B332" s="175"/>
      <c r="C332" s="239"/>
      <c r="D332" s="240"/>
      <c r="E332" s="175"/>
      <c r="F332" s="175"/>
      <c r="G332" s="175"/>
      <c r="H332" s="246"/>
      <c r="I332" s="249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  <c r="AA332" s="175"/>
      <c r="AB332" s="175"/>
      <c r="AC332" s="175"/>
      <c r="AD332" s="175"/>
      <c r="AE332" s="175"/>
    </row>
    <row r="333" ht="15.75" customHeight="1" spans="1:31">
      <c r="A333" s="175"/>
      <c r="B333" s="175"/>
      <c r="C333" s="239"/>
      <c r="D333" s="240"/>
      <c r="E333" s="175"/>
      <c r="F333" s="175"/>
      <c r="G333" s="175"/>
      <c r="H333" s="246"/>
      <c r="I333" s="249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  <c r="AA333" s="175"/>
      <c r="AB333" s="175"/>
      <c r="AC333" s="175"/>
      <c r="AD333" s="175"/>
      <c r="AE333" s="175"/>
    </row>
    <row r="334" ht="15.75" customHeight="1" spans="1:31">
      <c r="A334" s="175"/>
      <c r="B334" s="175"/>
      <c r="C334" s="239"/>
      <c r="D334" s="240"/>
      <c r="E334" s="175"/>
      <c r="F334" s="175"/>
      <c r="G334" s="175"/>
      <c r="H334" s="246"/>
      <c r="I334" s="249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  <c r="AA334" s="175"/>
      <c r="AB334" s="175"/>
      <c r="AC334" s="175"/>
      <c r="AD334" s="175"/>
      <c r="AE334" s="175"/>
    </row>
    <row r="335" ht="15.75" customHeight="1" spans="1:31">
      <c r="A335" s="175"/>
      <c r="B335" s="175"/>
      <c r="C335" s="239"/>
      <c r="D335" s="240"/>
      <c r="E335" s="175"/>
      <c r="F335" s="175"/>
      <c r="G335" s="175"/>
      <c r="H335" s="246"/>
      <c r="I335" s="249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  <c r="AA335" s="175"/>
      <c r="AB335" s="175"/>
      <c r="AC335" s="175"/>
      <c r="AD335" s="175"/>
      <c r="AE335" s="175"/>
    </row>
    <row r="336" ht="15.75" customHeight="1" spans="1:31">
      <c r="A336" s="175"/>
      <c r="B336" s="175"/>
      <c r="C336" s="239"/>
      <c r="D336" s="240"/>
      <c r="E336" s="175"/>
      <c r="F336" s="175"/>
      <c r="G336" s="175"/>
      <c r="H336" s="246"/>
      <c r="I336" s="249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  <c r="AA336" s="175"/>
      <c r="AB336" s="175"/>
      <c r="AC336" s="175"/>
      <c r="AD336" s="175"/>
      <c r="AE336" s="175"/>
    </row>
    <row r="337" ht="15.75" customHeight="1" spans="1:31">
      <c r="A337" s="175"/>
      <c r="B337" s="175"/>
      <c r="C337" s="239"/>
      <c r="D337" s="240"/>
      <c r="E337" s="175"/>
      <c r="F337" s="175"/>
      <c r="G337" s="175"/>
      <c r="H337" s="246"/>
      <c r="I337" s="249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  <c r="AA337" s="175"/>
      <c r="AB337" s="175"/>
      <c r="AC337" s="175"/>
      <c r="AD337" s="175"/>
      <c r="AE337" s="175"/>
    </row>
    <row r="338" ht="15.75" customHeight="1" spans="1:31">
      <c r="A338" s="175"/>
      <c r="B338" s="175"/>
      <c r="C338" s="239"/>
      <c r="D338" s="240"/>
      <c r="E338" s="175"/>
      <c r="F338" s="175"/>
      <c r="G338" s="175"/>
      <c r="H338" s="246"/>
      <c r="I338" s="249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  <c r="AA338" s="175"/>
      <c r="AB338" s="175"/>
      <c r="AC338" s="175"/>
      <c r="AD338" s="175"/>
      <c r="AE338" s="175"/>
    </row>
    <row r="339" ht="15.75" customHeight="1" spans="1:31">
      <c r="A339" s="175"/>
      <c r="B339" s="175"/>
      <c r="C339" s="239"/>
      <c r="D339" s="240"/>
      <c r="E339" s="175"/>
      <c r="F339" s="175"/>
      <c r="G339" s="175"/>
      <c r="H339" s="246"/>
      <c r="I339" s="249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  <c r="AA339" s="175"/>
      <c r="AB339" s="175"/>
      <c r="AC339" s="175"/>
      <c r="AD339" s="175"/>
      <c r="AE339" s="175"/>
    </row>
    <row r="340" ht="15.75" customHeight="1" spans="1:31">
      <c r="A340" s="175"/>
      <c r="B340" s="175"/>
      <c r="C340" s="239"/>
      <c r="D340" s="240"/>
      <c r="E340" s="175"/>
      <c r="F340" s="175"/>
      <c r="G340" s="175"/>
      <c r="H340" s="246"/>
      <c r="I340" s="249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  <c r="AA340" s="175"/>
      <c r="AB340" s="175"/>
      <c r="AC340" s="175"/>
      <c r="AD340" s="175"/>
      <c r="AE340" s="175"/>
    </row>
    <row r="341" ht="15.75" customHeight="1" spans="1:31">
      <c r="A341" s="175"/>
      <c r="B341" s="175"/>
      <c r="C341" s="239"/>
      <c r="D341" s="240"/>
      <c r="E341" s="175"/>
      <c r="F341" s="175"/>
      <c r="G341" s="175"/>
      <c r="H341" s="246"/>
      <c r="I341" s="249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  <c r="AA341" s="175"/>
      <c r="AB341" s="175"/>
      <c r="AC341" s="175"/>
      <c r="AD341" s="175"/>
      <c r="AE341" s="175"/>
    </row>
    <row r="342" ht="15.75" customHeight="1" spans="1:31">
      <c r="A342" s="175"/>
      <c r="B342" s="175"/>
      <c r="C342" s="239"/>
      <c r="D342" s="240"/>
      <c r="E342" s="175"/>
      <c r="F342" s="175"/>
      <c r="G342" s="175"/>
      <c r="H342" s="246"/>
      <c r="I342" s="249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  <c r="AA342" s="175"/>
      <c r="AB342" s="175"/>
      <c r="AC342" s="175"/>
      <c r="AD342" s="175"/>
      <c r="AE342" s="175"/>
    </row>
    <row r="343" ht="15.75" customHeight="1" spans="1:31">
      <c r="A343" s="175"/>
      <c r="B343" s="175"/>
      <c r="C343" s="239"/>
      <c r="D343" s="240"/>
      <c r="E343" s="175"/>
      <c r="F343" s="175"/>
      <c r="G343" s="175"/>
      <c r="H343" s="246"/>
      <c r="I343" s="249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  <c r="AA343" s="175"/>
      <c r="AB343" s="175"/>
      <c r="AC343" s="175"/>
      <c r="AD343" s="175"/>
      <c r="AE343" s="175"/>
    </row>
    <row r="344" ht="15.75" customHeight="1" spans="1:31">
      <c r="A344" s="175"/>
      <c r="B344" s="175"/>
      <c r="C344" s="239"/>
      <c r="D344" s="240"/>
      <c r="E344" s="175"/>
      <c r="F344" s="175"/>
      <c r="G344" s="175"/>
      <c r="H344" s="246"/>
      <c r="I344" s="249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  <c r="AA344" s="175"/>
      <c r="AB344" s="175"/>
      <c r="AC344" s="175"/>
      <c r="AD344" s="175"/>
      <c r="AE344" s="175"/>
    </row>
    <row r="345" ht="15.75" customHeight="1" spans="1:31">
      <c r="A345" s="175"/>
      <c r="B345" s="175"/>
      <c r="C345" s="239"/>
      <c r="D345" s="240"/>
      <c r="E345" s="175"/>
      <c r="F345" s="175"/>
      <c r="G345" s="175"/>
      <c r="H345" s="246"/>
      <c r="I345" s="249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  <c r="AA345" s="175"/>
      <c r="AB345" s="175"/>
      <c r="AC345" s="175"/>
      <c r="AD345" s="175"/>
      <c r="AE345" s="175"/>
    </row>
    <row r="346" ht="15.75" customHeight="1" spans="1:31">
      <c r="A346" s="175"/>
      <c r="B346" s="175"/>
      <c r="C346" s="239"/>
      <c r="D346" s="240"/>
      <c r="E346" s="175"/>
      <c r="F346" s="175"/>
      <c r="G346" s="175"/>
      <c r="H346" s="246"/>
      <c r="I346" s="249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  <c r="AA346" s="175"/>
      <c r="AB346" s="175"/>
      <c r="AC346" s="175"/>
      <c r="AD346" s="175"/>
      <c r="AE346" s="175"/>
    </row>
    <row r="347" ht="15.75" customHeight="1" spans="1:31">
      <c r="A347" s="175"/>
      <c r="B347" s="175"/>
      <c r="C347" s="239"/>
      <c r="D347" s="240"/>
      <c r="E347" s="175"/>
      <c r="F347" s="175"/>
      <c r="G347" s="175"/>
      <c r="H347" s="246"/>
      <c r="I347" s="249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  <c r="AA347" s="175"/>
      <c r="AB347" s="175"/>
      <c r="AC347" s="175"/>
      <c r="AD347" s="175"/>
      <c r="AE347" s="175"/>
    </row>
    <row r="348" ht="15.75" customHeight="1" spans="1:31">
      <c r="A348" s="175"/>
      <c r="B348" s="175"/>
      <c r="C348" s="239"/>
      <c r="D348" s="240"/>
      <c r="E348" s="175"/>
      <c r="F348" s="175"/>
      <c r="G348" s="175"/>
      <c r="H348" s="246"/>
      <c r="I348" s="249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  <c r="AA348" s="175"/>
      <c r="AB348" s="175"/>
      <c r="AC348" s="175"/>
      <c r="AD348" s="175"/>
      <c r="AE348" s="175"/>
    </row>
    <row r="349" ht="15.75" customHeight="1" spans="1:31">
      <c r="A349" s="175"/>
      <c r="B349" s="175"/>
      <c r="C349" s="239"/>
      <c r="D349" s="240"/>
      <c r="E349" s="175"/>
      <c r="F349" s="175"/>
      <c r="G349" s="175"/>
      <c r="H349" s="246"/>
      <c r="I349" s="249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  <c r="AA349" s="175"/>
      <c r="AB349" s="175"/>
      <c r="AC349" s="175"/>
      <c r="AD349" s="175"/>
      <c r="AE349" s="175"/>
    </row>
    <row r="350" ht="15.75" customHeight="1" spans="1:31">
      <c r="A350" s="175"/>
      <c r="B350" s="175"/>
      <c r="C350" s="239"/>
      <c r="D350" s="240"/>
      <c r="E350" s="175"/>
      <c r="F350" s="175"/>
      <c r="G350" s="175"/>
      <c r="H350" s="246"/>
      <c r="I350" s="249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  <c r="AA350" s="175"/>
      <c r="AB350" s="175"/>
      <c r="AC350" s="175"/>
      <c r="AD350" s="175"/>
      <c r="AE350" s="175"/>
    </row>
    <row r="351" ht="15.75" customHeight="1" spans="1:31">
      <c r="A351" s="175"/>
      <c r="B351" s="175"/>
      <c r="C351" s="239"/>
      <c r="D351" s="240"/>
      <c r="E351" s="175"/>
      <c r="F351" s="175"/>
      <c r="G351" s="175"/>
      <c r="H351" s="246"/>
      <c r="I351" s="249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  <c r="AA351" s="175"/>
      <c r="AB351" s="175"/>
      <c r="AC351" s="175"/>
      <c r="AD351" s="175"/>
      <c r="AE351" s="175"/>
    </row>
    <row r="352" ht="15.75" customHeight="1" spans="1:31">
      <c r="A352" s="175"/>
      <c r="B352" s="175"/>
      <c r="C352" s="239"/>
      <c r="D352" s="240"/>
      <c r="E352" s="175"/>
      <c r="F352" s="175"/>
      <c r="G352" s="175"/>
      <c r="H352" s="246"/>
      <c r="I352" s="249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  <c r="AA352" s="175"/>
      <c r="AB352" s="175"/>
      <c r="AC352" s="175"/>
      <c r="AD352" s="175"/>
      <c r="AE352" s="175"/>
    </row>
    <row r="353" ht="15.75" customHeight="1" spans="1:31">
      <c r="A353" s="175"/>
      <c r="B353" s="175"/>
      <c r="C353" s="239"/>
      <c r="D353" s="240"/>
      <c r="E353" s="175"/>
      <c r="F353" s="175"/>
      <c r="G353" s="175"/>
      <c r="H353" s="246"/>
      <c r="I353" s="249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  <c r="AA353" s="175"/>
      <c r="AB353" s="175"/>
      <c r="AC353" s="175"/>
      <c r="AD353" s="175"/>
      <c r="AE353" s="175"/>
    </row>
    <row r="354" ht="15.75" customHeight="1" spans="1:31">
      <c r="A354" s="175"/>
      <c r="B354" s="175"/>
      <c r="C354" s="239"/>
      <c r="D354" s="240"/>
      <c r="E354" s="175"/>
      <c r="F354" s="175"/>
      <c r="G354" s="175"/>
      <c r="H354" s="246"/>
      <c r="I354" s="249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  <c r="AA354" s="175"/>
      <c r="AB354" s="175"/>
      <c r="AC354" s="175"/>
      <c r="AD354" s="175"/>
      <c r="AE354" s="175"/>
    </row>
    <row r="355" ht="15.75" customHeight="1" spans="1:31">
      <c r="A355" s="175"/>
      <c r="B355" s="175"/>
      <c r="C355" s="239"/>
      <c r="D355" s="240"/>
      <c r="E355" s="175"/>
      <c r="F355" s="175"/>
      <c r="G355" s="175"/>
      <c r="H355" s="246"/>
      <c r="I355" s="249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  <c r="AA355" s="175"/>
      <c r="AB355" s="175"/>
      <c r="AC355" s="175"/>
      <c r="AD355" s="175"/>
      <c r="AE355" s="175"/>
    </row>
    <row r="356" ht="15.75" customHeight="1" spans="1:31">
      <c r="A356" s="175"/>
      <c r="B356" s="175"/>
      <c r="C356" s="239"/>
      <c r="D356" s="240"/>
      <c r="E356" s="175"/>
      <c r="F356" s="175"/>
      <c r="G356" s="175"/>
      <c r="H356" s="246"/>
      <c r="I356" s="249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  <c r="AA356" s="175"/>
      <c r="AB356" s="175"/>
      <c r="AC356" s="175"/>
      <c r="AD356" s="175"/>
      <c r="AE356" s="175"/>
    </row>
    <row r="357" ht="15.75" customHeight="1" spans="1:31">
      <c r="A357" s="175"/>
      <c r="B357" s="175"/>
      <c r="C357" s="239"/>
      <c r="D357" s="240"/>
      <c r="E357" s="175"/>
      <c r="F357" s="175"/>
      <c r="G357" s="175"/>
      <c r="H357" s="246"/>
      <c r="I357" s="249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  <c r="AA357" s="175"/>
      <c r="AB357" s="175"/>
      <c r="AC357" s="175"/>
      <c r="AD357" s="175"/>
      <c r="AE357" s="175"/>
    </row>
    <row r="358" ht="15.75" customHeight="1" spans="1:31">
      <c r="A358" s="175"/>
      <c r="B358" s="175"/>
      <c r="C358" s="239"/>
      <c r="D358" s="240"/>
      <c r="E358" s="175"/>
      <c r="F358" s="175"/>
      <c r="G358" s="175"/>
      <c r="H358" s="246"/>
      <c r="I358" s="249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  <c r="AA358" s="175"/>
      <c r="AB358" s="175"/>
      <c r="AC358" s="175"/>
      <c r="AD358" s="175"/>
      <c r="AE358" s="175"/>
    </row>
    <row r="359" ht="15.75" customHeight="1" spans="1:31">
      <c r="A359" s="175"/>
      <c r="B359" s="175"/>
      <c r="C359" s="239"/>
      <c r="D359" s="240"/>
      <c r="E359" s="175"/>
      <c r="F359" s="175"/>
      <c r="G359" s="175"/>
      <c r="H359" s="246"/>
      <c r="I359" s="249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  <c r="AA359" s="175"/>
      <c r="AB359" s="175"/>
      <c r="AC359" s="175"/>
      <c r="AD359" s="175"/>
      <c r="AE359" s="175"/>
    </row>
    <row r="360" ht="15.75" customHeight="1" spans="1:31">
      <c r="A360" s="175"/>
      <c r="B360" s="175"/>
      <c r="C360" s="239"/>
      <c r="D360" s="240"/>
      <c r="E360" s="175"/>
      <c r="F360" s="175"/>
      <c r="G360" s="175"/>
      <c r="H360" s="246"/>
      <c r="I360" s="249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  <c r="AA360" s="175"/>
      <c r="AB360" s="175"/>
      <c r="AC360" s="175"/>
      <c r="AD360" s="175"/>
      <c r="AE360" s="175"/>
    </row>
    <row r="361" ht="15.75" customHeight="1" spans="1:31">
      <c r="A361" s="175"/>
      <c r="B361" s="175"/>
      <c r="C361" s="239"/>
      <c r="D361" s="240"/>
      <c r="E361" s="175"/>
      <c r="F361" s="175"/>
      <c r="G361" s="175"/>
      <c r="H361" s="246"/>
      <c r="I361" s="249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  <c r="AA361" s="175"/>
      <c r="AB361" s="175"/>
      <c r="AC361" s="175"/>
      <c r="AD361" s="175"/>
      <c r="AE361" s="175"/>
    </row>
    <row r="362" ht="15.75" customHeight="1" spans="1:31">
      <c r="A362" s="175"/>
      <c r="B362" s="175"/>
      <c r="C362" s="239"/>
      <c r="D362" s="240"/>
      <c r="E362" s="175"/>
      <c r="F362" s="175"/>
      <c r="G362" s="175"/>
      <c r="H362" s="246"/>
      <c r="I362" s="249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  <c r="AA362" s="175"/>
      <c r="AB362" s="175"/>
      <c r="AC362" s="175"/>
      <c r="AD362" s="175"/>
      <c r="AE362" s="175"/>
    </row>
    <row r="363" ht="15.75" customHeight="1" spans="1:31">
      <c r="A363" s="175"/>
      <c r="B363" s="175"/>
      <c r="C363" s="239"/>
      <c r="D363" s="240"/>
      <c r="E363" s="175"/>
      <c r="F363" s="175"/>
      <c r="G363" s="175"/>
      <c r="H363" s="246"/>
      <c r="I363" s="249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  <c r="AA363" s="175"/>
      <c r="AB363" s="175"/>
      <c r="AC363" s="175"/>
      <c r="AD363" s="175"/>
      <c r="AE363" s="175"/>
    </row>
    <row r="364" ht="15.75" customHeight="1" spans="1:31">
      <c r="A364" s="175"/>
      <c r="B364" s="175"/>
      <c r="C364" s="239"/>
      <c r="D364" s="240"/>
      <c r="E364" s="175"/>
      <c r="F364" s="175"/>
      <c r="G364" s="175"/>
      <c r="H364" s="246"/>
      <c r="I364" s="249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  <c r="AA364" s="175"/>
      <c r="AB364" s="175"/>
      <c r="AC364" s="175"/>
      <c r="AD364" s="175"/>
      <c r="AE364" s="175"/>
    </row>
    <row r="365" ht="15.75" customHeight="1" spans="1:31">
      <c r="A365" s="175"/>
      <c r="B365" s="175"/>
      <c r="C365" s="239"/>
      <c r="D365" s="240"/>
      <c r="E365" s="175"/>
      <c r="F365" s="175"/>
      <c r="G365" s="175"/>
      <c r="H365" s="246"/>
      <c r="I365" s="249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  <c r="AA365" s="175"/>
      <c r="AB365" s="175"/>
      <c r="AC365" s="175"/>
      <c r="AD365" s="175"/>
      <c r="AE365" s="175"/>
    </row>
    <row r="366" ht="15.75" customHeight="1" spans="1:31">
      <c r="A366" s="175"/>
      <c r="B366" s="175"/>
      <c r="C366" s="239"/>
      <c r="D366" s="240"/>
      <c r="E366" s="175"/>
      <c r="F366" s="175"/>
      <c r="G366" s="175"/>
      <c r="H366" s="246"/>
      <c r="I366" s="249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  <c r="AA366" s="175"/>
      <c r="AB366" s="175"/>
      <c r="AC366" s="175"/>
      <c r="AD366" s="175"/>
      <c r="AE366" s="175"/>
    </row>
    <row r="367" ht="15.75" customHeight="1" spans="1:31">
      <c r="A367" s="175"/>
      <c r="B367" s="175"/>
      <c r="C367" s="239"/>
      <c r="D367" s="240"/>
      <c r="E367" s="175"/>
      <c r="F367" s="175"/>
      <c r="G367" s="175"/>
      <c r="H367" s="246"/>
      <c r="I367" s="249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  <c r="AA367" s="175"/>
      <c r="AB367" s="175"/>
      <c r="AC367" s="175"/>
      <c r="AD367" s="175"/>
      <c r="AE367" s="175"/>
    </row>
    <row r="368" ht="15.75" customHeight="1" spans="1:31">
      <c r="A368" s="175"/>
      <c r="B368" s="175"/>
      <c r="C368" s="239"/>
      <c r="D368" s="240"/>
      <c r="E368" s="175"/>
      <c r="F368" s="175"/>
      <c r="G368" s="175"/>
      <c r="H368" s="246"/>
      <c r="I368" s="249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  <c r="AA368" s="175"/>
      <c r="AB368" s="175"/>
      <c r="AC368" s="175"/>
      <c r="AD368" s="175"/>
      <c r="AE368" s="175"/>
    </row>
    <row r="369" ht="15.75" customHeight="1" spans="1:31">
      <c r="A369" s="175"/>
      <c r="B369" s="175"/>
      <c r="C369" s="239"/>
      <c r="D369" s="240"/>
      <c r="E369" s="175"/>
      <c r="F369" s="175"/>
      <c r="G369" s="175"/>
      <c r="H369" s="246"/>
      <c r="I369" s="249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  <c r="AA369" s="175"/>
      <c r="AB369" s="175"/>
      <c r="AC369" s="175"/>
      <c r="AD369" s="175"/>
      <c r="AE369" s="175"/>
    </row>
    <row r="370" ht="15.75" customHeight="1" spans="1:31">
      <c r="A370" s="175"/>
      <c r="B370" s="175"/>
      <c r="C370" s="239"/>
      <c r="D370" s="240"/>
      <c r="E370" s="175"/>
      <c r="F370" s="175"/>
      <c r="G370" s="175"/>
      <c r="H370" s="246"/>
      <c r="I370" s="249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  <c r="AA370" s="175"/>
      <c r="AB370" s="175"/>
      <c r="AC370" s="175"/>
      <c r="AD370" s="175"/>
      <c r="AE370" s="175"/>
    </row>
    <row r="371" ht="15.75" customHeight="1" spans="1:31">
      <c r="A371" s="175"/>
      <c r="B371" s="175"/>
      <c r="C371" s="239"/>
      <c r="D371" s="240"/>
      <c r="E371" s="175"/>
      <c r="F371" s="175"/>
      <c r="G371" s="175"/>
      <c r="H371" s="246"/>
      <c r="I371" s="249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  <c r="AA371" s="175"/>
      <c r="AB371" s="175"/>
      <c r="AC371" s="175"/>
      <c r="AD371" s="175"/>
      <c r="AE371" s="175"/>
    </row>
    <row r="372" ht="15.75" customHeight="1" spans="1:31">
      <c r="A372" s="175"/>
      <c r="B372" s="175"/>
      <c r="C372" s="239"/>
      <c r="D372" s="240"/>
      <c r="E372" s="175"/>
      <c r="F372" s="175"/>
      <c r="G372" s="175"/>
      <c r="H372" s="246"/>
      <c r="I372" s="249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  <c r="AA372" s="175"/>
      <c r="AB372" s="175"/>
      <c r="AC372" s="175"/>
      <c r="AD372" s="175"/>
      <c r="AE372" s="175"/>
    </row>
    <row r="373" ht="15.75" customHeight="1" spans="1:31">
      <c r="A373" s="175"/>
      <c r="B373" s="175"/>
      <c r="C373" s="239"/>
      <c r="D373" s="240"/>
      <c r="E373" s="175"/>
      <c r="F373" s="175"/>
      <c r="G373" s="175"/>
      <c r="H373" s="246"/>
      <c r="I373" s="249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  <c r="AA373" s="175"/>
      <c r="AB373" s="175"/>
      <c r="AC373" s="175"/>
      <c r="AD373" s="175"/>
      <c r="AE373" s="175"/>
    </row>
    <row r="374" ht="15.75" customHeight="1" spans="1:31">
      <c r="A374" s="175"/>
      <c r="B374" s="175"/>
      <c r="C374" s="239"/>
      <c r="D374" s="240"/>
      <c r="E374" s="175"/>
      <c r="F374" s="175"/>
      <c r="G374" s="175"/>
      <c r="H374" s="246"/>
      <c r="I374" s="249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  <c r="AA374" s="175"/>
      <c r="AB374" s="175"/>
      <c r="AC374" s="175"/>
      <c r="AD374" s="175"/>
      <c r="AE374" s="175"/>
    </row>
    <row r="375" ht="15.75" customHeight="1" spans="1:31">
      <c r="A375" s="175"/>
      <c r="B375" s="175"/>
      <c r="C375" s="239"/>
      <c r="D375" s="240"/>
      <c r="E375" s="175"/>
      <c r="F375" s="175"/>
      <c r="G375" s="175"/>
      <c r="H375" s="246"/>
      <c r="I375" s="249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  <c r="AA375" s="175"/>
      <c r="AB375" s="175"/>
      <c r="AC375" s="175"/>
      <c r="AD375" s="175"/>
      <c r="AE375" s="175"/>
    </row>
    <row r="376" ht="15.75" customHeight="1" spans="1:31">
      <c r="A376" s="175"/>
      <c r="B376" s="175"/>
      <c r="C376" s="239"/>
      <c r="D376" s="240"/>
      <c r="E376" s="175"/>
      <c r="F376" s="175"/>
      <c r="G376" s="175"/>
      <c r="H376" s="246"/>
      <c r="I376" s="249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  <c r="AA376" s="175"/>
      <c r="AB376" s="175"/>
      <c r="AC376" s="175"/>
      <c r="AD376" s="175"/>
      <c r="AE376" s="175"/>
    </row>
    <row r="377" ht="15.75" customHeight="1" spans="1:31">
      <c r="A377" s="175"/>
      <c r="B377" s="175"/>
      <c r="C377" s="239"/>
      <c r="D377" s="240"/>
      <c r="E377" s="175"/>
      <c r="F377" s="175"/>
      <c r="G377" s="175"/>
      <c r="H377" s="246"/>
      <c r="I377" s="249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  <c r="AA377" s="175"/>
      <c r="AB377" s="175"/>
      <c r="AC377" s="175"/>
      <c r="AD377" s="175"/>
      <c r="AE377" s="175"/>
    </row>
    <row r="378" ht="15.75" customHeight="1" spans="1:31">
      <c r="A378" s="175"/>
      <c r="B378" s="175"/>
      <c r="C378" s="239"/>
      <c r="D378" s="240"/>
      <c r="E378" s="175"/>
      <c r="F378" s="175"/>
      <c r="G378" s="175"/>
      <c r="H378" s="246"/>
      <c r="I378" s="249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  <c r="AA378" s="175"/>
      <c r="AB378" s="175"/>
      <c r="AC378" s="175"/>
      <c r="AD378" s="175"/>
      <c r="AE378" s="175"/>
    </row>
    <row r="379" ht="15.75" customHeight="1" spans="1:31">
      <c r="A379" s="175"/>
      <c r="B379" s="175"/>
      <c r="C379" s="239"/>
      <c r="D379" s="240"/>
      <c r="E379" s="175"/>
      <c r="F379" s="175"/>
      <c r="G379" s="175"/>
      <c r="H379" s="246"/>
      <c r="I379" s="249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  <c r="AA379" s="175"/>
      <c r="AB379" s="175"/>
      <c r="AC379" s="175"/>
      <c r="AD379" s="175"/>
      <c r="AE379" s="175"/>
    </row>
    <row r="380" ht="15.75" customHeight="1" spans="1:31">
      <c r="A380" s="175"/>
      <c r="B380" s="175"/>
      <c r="C380" s="239"/>
      <c r="D380" s="240"/>
      <c r="E380" s="175"/>
      <c r="F380" s="175"/>
      <c r="G380" s="175"/>
      <c r="H380" s="246"/>
      <c r="I380" s="249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  <c r="AA380" s="175"/>
      <c r="AB380" s="175"/>
      <c r="AC380" s="175"/>
      <c r="AD380" s="175"/>
      <c r="AE380" s="175"/>
    </row>
    <row r="381" ht="15.75" customHeight="1" spans="1:31">
      <c r="A381" s="175"/>
      <c r="B381" s="175"/>
      <c r="C381" s="239"/>
      <c r="D381" s="240"/>
      <c r="E381" s="175"/>
      <c r="F381" s="175"/>
      <c r="G381" s="175"/>
      <c r="H381" s="246"/>
      <c r="I381" s="249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  <c r="AA381" s="175"/>
      <c r="AB381" s="175"/>
      <c r="AC381" s="175"/>
      <c r="AD381" s="175"/>
      <c r="AE381" s="175"/>
    </row>
    <row r="382" ht="15.75" customHeight="1" spans="1:31">
      <c r="A382" s="175"/>
      <c r="B382" s="175"/>
      <c r="C382" s="239"/>
      <c r="D382" s="240"/>
      <c r="E382" s="175"/>
      <c r="F382" s="175"/>
      <c r="G382" s="175"/>
      <c r="H382" s="246"/>
      <c r="I382" s="249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  <c r="AA382" s="175"/>
      <c r="AB382" s="175"/>
      <c r="AC382" s="175"/>
      <c r="AD382" s="175"/>
      <c r="AE382" s="175"/>
    </row>
    <row r="383" ht="15.75" customHeight="1" spans="1:31">
      <c r="A383" s="175"/>
      <c r="B383" s="175"/>
      <c r="C383" s="239"/>
      <c r="D383" s="240"/>
      <c r="E383" s="175"/>
      <c r="F383" s="175"/>
      <c r="G383" s="175"/>
      <c r="H383" s="246"/>
      <c r="I383" s="249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  <c r="AA383" s="175"/>
      <c r="AB383" s="175"/>
      <c r="AC383" s="175"/>
      <c r="AD383" s="175"/>
      <c r="AE383" s="175"/>
    </row>
    <row r="384" ht="15.75" customHeight="1" spans="1:31">
      <c r="A384" s="175"/>
      <c r="B384" s="175"/>
      <c r="C384" s="239"/>
      <c r="D384" s="240"/>
      <c r="E384" s="175"/>
      <c r="F384" s="175"/>
      <c r="G384" s="175"/>
      <c r="H384" s="246"/>
      <c r="I384" s="249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  <c r="AA384" s="175"/>
      <c r="AB384" s="175"/>
      <c r="AC384" s="175"/>
      <c r="AD384" s="175"/>
      <c r="AE384" s="175"/>
    </row>
    <row r="385" ht="15.75" customHeight="1" spans="1:31">
      <c r="A385" s="175"/>
      <c r="B385" s="175"/>
      <c r="C385" s="239"/>
      <c r="D385" s="240"/>
      <c r="E385" s="175"/>
      <c r="F385" s="175"/>
      <c r="G385" s="175"/>
      <c r="H385" s="246"/>
      <c r="I385" s="249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  <c r="AA385" s="175"/>
      <c r="AB385" s="175"/>
      <c r="AC385" s="175"/>
      <c r="AD385" s="175"/>
      <c r="AE385" s="175"/>
    </row>
    <row r="386" ht="15.75" customHeight="1" spans="1:31">
      <c r="A386" s="175"/>
      <c r="B386" s="175"/>
      <c r="C386" s="239"/>
      <c r="D386" s="240"/>
      <c r="E386" s="175"/>
      <c r="F386" s="175"/>
      <c r="G386" s="175"/>
      <c r="H386" s="246"/>
      <c r="I386" s="249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  <c r="AA386" s="175"/>
      <c r="AB386" s="175"/>
      <c r="AC386" s="175"/>
      <c r="AD386" s="175"/>
      <c r="AE386" s="175"/>
    </row>
    <row r="387" ht="15.75" customHeight="1" spans="1:31">
      <c r="A387" s="175"/>
      <c r="B387" s="175"/>
      <c r="C387" s="239"/>
      <c r="D387" s="240"/>
      <c r="E387" s="175"/>
      <c r="F387" s="175"/>
      <c r="G387" s="175"/>
      <c r="H387" s="246"/>
      <c r="I387" s="249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  <c r="AA387" s="175"/>
      <c r="AB387" s="175"/>
      <c r="AC387" s="175"/>
      <c r="AD387" s="175"/>
      <c r="AE387" s="175"/>
    </row>
    <row r="388" ht="15.75" customHeight="1" spans="1:31">
      <c r="A388" s="175"/>
      <c r="B388" s="175"/>
      <c r="C388" s="239"/>
      <c r="D388" s="240"/>
      <c r="E388" s="175"/>
      <c r="F388" s="175"/>
      <c r="G388" s="175"/>
      <c r="H388" s="246"/>
      <c r="I388" s="249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  <c r="AA388" s="175"/>
      <c r="AB388" s="175"/>
      <c r="AC388" s="175"/>
      <c r="AD388" s="175"/>
      <c r="AE388" s="175"/>
    </row>
    <row r="389" ht="15.75" customHeight="1" spans="1:31">
      <c r="A389" s="175"/>
      <c r="B389" s="175"/>
      <c r="C389" s="239"/>
      <c r="D389" s="240"/>
      <c r="E389" s="175"/>
      <c r="F389" s="175"/>
      <c r="G389" s="175"/>
      <c r="H389" s="246"/>
      <c r="I389" s="249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  <c r="AA389" s="175"/>
      <c r="AB389" s="175"/>
      <c r="AC389" s="175"/>
      <c r="AD389" s="175"/>
      <c r="AE389" s="175"/>
    </row>
    <row r="390" ht="15.75" customHeight="1" spans="1:31">
      <c r="A390" s="175"/>
      <c r="B390" s="175"/>
      <c r="C390" s="239"/>
      <c r="D390" s="240"/>
      <c r="E390" s="175"/>
      <c r="F390" s="175"/>
      <c r="G390" s="175"/>
      <c r="H390" s="246"/>
      <c r="I390" s="249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  <c r="AA390" s="175"/>
      <c r="AB390" s="175"/>
      <c r="AC390" s="175"/>
      <c r="AD390" s="175"/>
      <c r="AE390" s="175"/>
    </row>
    <row r="391" ht="15.75" customHeight="1" spans="1:31">
      <c r="A391" s="175"/>
      <c r="B391" s="175"/>
      <c r="C391" s="239"/>
      <c r="D391" s="240"/>
      <c r="E391" s="175"/>
      <c r="F391" s="175"/>
      <c r="G391" s="175"/>
      <c r="H391" s="246"/>
      <c r="I391" s="249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  <c r="AA391" s="175"/>
      <c r="AB391" s="175"/>
      <c r="AC391" s="175"/>
      <c r="AD391" s="175"/>
      <c r="AE391" s="175"/>
    </row>
    <row r="392" ht="15.75" customHeight="1" spans="1:31">
      <c r="A392" s="175"/>
      <c r="B392" s="175"/>
      <c r="C392" s="239"/>
      <c r="D392" s="240"/>
      <c r="E392" s="175"/>
      <c r="F392" s="175"/>
      <c r="G392" s="175"/>
      <c r="H392" s="246"/>
      <c r="I392" s="249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  <c r="AA392" s="175"/>
      <c r="AB392" s="175"/>
      <c r="AC392" s="175"/>
      <c r="AD392" s="175"/>
      <c r="AE392" s="175"/>
    </row>
    <row r="393" ht="15.75" customHeight="1" spans="1:31">
      <c r="A393" s="175"/>
      <c r="B393" s="175"/>
      <c r="C393" s="239"/>
      <c r="D393" s="240"/>
      <c r="E393" s="175"/>
      <c r="F393" s="175"/>
      <c r="G393" s="175"/>
      <c r="H393" s="246"/>
      <c r="I393" s="249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  <c r="AA393" s="175"/>
      <c r="AB393" s="175"/>
      <c r="AC393" s="175"/>
      <c r="AD393" s="175"/>
      <c r="AE393" s="175"/>
    </row>
    <row r="394" ht="15.75" customHeight="1" spans="1:31">
      <c r="A394" s="175"/>
      <c r="B394" s="175"/>
      <c r="C394" s="239"/>
      <c r="D394" s="240"/>
      <c r="E394" s="175"/>
      <c r="F394" s="175"/>
      <c r="G394" s="175"/>
      <c r="H394" s="246"/>
      <c r="I394" s="249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  <c r="AA394" s="175"/>
      <c r="AB394" s="175"/>
      <c r="AC394" s="175"/>
      <c r="AD394" s="175"/>
      <c r="AE394" s="175"/>
    </row>
    <row r="395" ht="15.75" customHeight="1" spans="1:31">
      <c r="A395" s="175"/>
      <c r="B395" s="175"/>
      <c r="C395" s="239"/>
      <c r="D395" s="240"/>
      <c r="E395" s="175"/>
      <c r="F395" s="175"/>
      <c r="G395" s="175"/>
      <c r="H395" s="246"/>
      <c r="I395" s="249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  <c r="AA395" s="175"/>
      <c r="AB395" s="175"/>
      <c r="AC395" s="175"/>
      <c r="AD395" s="175"/>
      <c r="AE395" s="175"/>
    </row>
    <row r="396" ht="15.75" customHeight="1" spans="1:31">
      <c r="A396" s="175"/>
      <c r="B396" s="175"/>
      <c r="C396" s="239"/>
      <c r="D396" s="240"/>
      <c r="E396" s="175"/>
      <c r="F396" s="175"/>
      <c r="G396" s="175"/>
      <c r="H396" s="246"/>
      <c r="I396" s="249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  <c r="AA396" s="175"/>
      <c r="AB396" s="175"/>
      <c r="AC396" s="175"/>
      <c r="AD396" s="175"/>
      <c r="AE396" s="175"/>
    </row>
    <row r="397" ht="15.75" customHeight="1" spans="1:31">
      <c r="A397" s="175"/>
      <c r="B397" s="175"/>
      <c r="C397" s="239"/>
      <c r="D397" s="240"/>
      <c r="E397" s="175"/>
      <c r="F397" s="175"/>
      <c r="G397" s="175"/>
      <c r="H397" s="246"/>
      <c r="I397" s="249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  <c r="AA397" s="175"/>
      <c r="AB397" s="175"/>
      <c r="AC397" s="175"/>
      <c r="AD397" s="175"/>
      <c r="AE397" s="175"/>
    </row>
    <row r="398" ht="15.75" customHeight="1" spans="1:31">
      <c r="A398" s="175"/>
      <c r="B398" s="175"/>
      <c r="C398" s="239"/>
      <c r="D398" s="240"/>
      <c r="E398" s="175"/>
      <c r="F398" s="175"/>
      <c r="G398" s="175"/>
      <c r="H398" s="246"/>
      <c r="I398" s="249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</row>
    <row r="399" ht="15.75" customHeight="1" spans="1:31">
      <c r="A399" s="175"/>
      <c r="B399" s="175"/>
      <c r="C399" s="239"/>
      <c r="D399" s="240"/>
      <c r="E399" s="175"/>
      <c r="F399" s="175"/>
      <c r="G399" s="175"/>
      <c r="H399" s="246"/>
      <c r="I399" s="249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</row>
    <row r="400" ht="15.75" customHeight="1" spans="1:31">
      <c r="A400" s="175"/>
      <c r="B400" s="175"/>
      <c r="C400" s="239"/>
      <c r="D400" s="240"/>
      <c r="E400" s="175"/>
      <c r="F400" s="175"/>
      <c r="G400" s="175"/>
      <c r="H400" s="246"/>
      <c r="I400" s="249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</row>
    <row r="401" ht="15.75" customHeight="1" spans="1:31">
      <c r="A401" s="175"/>
      <c r="B401" s="175"/>
      <c r="C401" s="239"/>
      <c r="D401" s="240"/>
      <c r="E401" s="175"/>
      <c r="F401" s="175"/>
      <c r="G401" s="175"/>
      <c r="H401" s="246"/>
      <c r="I401" s="249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  <c r="AA401" s="175"/>
      <c r="AB401" s="175"/>
      <c r="AC401" s="175"/>
      <c r="AD401" s="175"/>
      <c r="AE401" s="175"/>
    </row>
    <row r="402" ht="15.75" customHeight="1" spans="1:31">
      <c r="A402" s="175"/>
      <c r="B402" s="175"/>
      <c r="C402" s="239"/>
      <c r="D402" s="240"/>
      <c r="E402" s="175"/>
      <c r="F402" s="175"/>
      <c r="G402" s="175"/>
      <c r="H402" s="246"/>
      <c r="I402" s="249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  <c r="AA402" s="175"/>
      <c r="AB402" s="175"/>
      <c r="AC402" s="175"/>
      <c r="AD402" s="175"/>
      <c r="AE402" s="175"/>
    </row>
    <row r="403" ht="15.75" customHeight="1" spans="1:31">
      <c r="A403" s="175"/>
      <c r="B403" s="175"/>
      <c r="C403" s="239"/>
      <c r="D403" s="240"/>
      <c r="E403" s="175"/>
      <c r="F403" s="175"/>
      <c r="G403" s="175"/>
      <c r="H403" s="246"/>
      <c r="I403" s="249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  <c r="AA403" s="175"/>
      <c r="AB403" s="175"/>
      <c r="AC403" s="175"/>
      <c r="AD403" s="175"/>
      <c r="AE403" s="175"/>
    </row>
    <row r="404" ht="15.75" customHeight="1" spans="1:31">
      <c r="A404" s="175"/>
      <c r="B404" s="175"/>
      <c r="C404" s="239"/>
      <c r="D404" s="240"/>
      <c r="E404" s="175"/>
      <c r="F404" s="175"/>
      <c r="G404" s="175"/>
      <c r="H404" s="246"/>
      <c r="I404" s="249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  <c r="AA404" s="175"/>
      <c r="AB404" s="175"/>
      <c r="AC404" s="175"/>
      <c r="AD404" s="175"/>
      <c r="AE404" s="175"/>
    </row>
    <row r="405" ht="15.75" customHeight="1" spans="1:31">
      <c r="A405" s="175"/>
      <c r="B405" s="175"/>
      <c r="C405" s="239"/>
      <c r="D405" s="240"/>
      <c r="E405" s="175"/>
      <c r="F405" s="175"/>
      <c r="G405" s="175"/>
      <c r="H405" s="246"/>
      <c r="I405" s="249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</row>
    <row r="406" ht="15.75" customHeight="1" spans="1:31">
      <c r="A406" s="175"/>
      <c r="B406" s="175"/>
      <c r="C406" s="239"/>
      <c r="D406" s="240"/>
      <c r="E406" s="175"/>
      <c r="F406" s="175"/>
      <c r="G406" s="175"/>
      <c r="H406" s="246"/>
      <c r="I406" s="249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</row>
    <row r="407" ht="15.75" customHeight="1" spans="1:31">
      <c r="A407" s="175"/>
      <c r="B407" s="175"/>
      <c r="C407" s="239"/>
      <c r="D407" s="240"/>
      <c r="E407" s="175"/>
      <c r="F407" s="175"/>
      <c r="G407" s="175"/>
      <c r="H407" s="246"/>
      <c r="I407" s="249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</row>
    <row r="408" ht="15.75" customHeight="1" spans="1:31">
      <c r="A408" s="175"/>
      <c r="B408" s="175"/>
      <c r="C408" s="239"/>
      <c r="D408" s="240"/>
      <c r="E408" s="175"/>
      <c r="F408" s="175"/>
      <c r="G408" s="175"/>
      <c r="H408" s="246"/>
      <c r="I408" s="249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  <c r="AA408" s="175"/>
      <c r="AB408" s="175"/>
      <c r="AC408" s="175"/>
      <c r="AD408" s="175"/>
      <c r="AE408" s="175"/>
    </row>
    <row r="409" ht="15.75" customHeight="1" spans="1:31">
      <c r="A409" s="175"/>
      <c r="B409" s="175"/>
      <c r="C409" s="239"/>
      <c r="D409" s="240"/>
      <c r="E409" s="175"/>
      <c r="F409" s="175"/>
      <c r="G409" s="175"/>
      <c r="H409" s="246"/>
      <c r="I409" s="249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  <c r="AA409" s="175"/>
      <c r="AB409" s="175"/>
      <c r="AC409" s="175"/>
      <c r="AD409" s="175"/>
      <c r="AE409" s="175"/>
    </row>
    <row r="410" ht="15.75" customHeight="1" spans="1:31">
      <c r="A410" s="175"/>
      <c r="B410" s="175"/>
      <c r="C410" s="239"/>
      <c r="D410" s="240"/>
      <c r="E410" s="175"/>
      <c r="F410" s="175"/>
      <c r="G410" s="175"/>
      <c r="H410" s="246"/>
      <c r="I410" s="249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  <c r="AA410" s="175"/>
      <c r="AB410" s="175"/>
      <c r="AC410" s="175"/>
      <c r="AD410" s="175"/>
      <c r="AE410" s="175"/>
    </row>
    <row r="411" ht="15.75" customHeight="1" spans="1:31">
      <c r="A411" s="175"/>
      <c r="B411" s="175"/>
      <c r="C411" s="239"/>
      <c r="D411" s="240"/>
      <c r="E411" s="175"/>
      <c r="F411" s="175"/>
      <c r="G411" s="175"/>
      <c r="H411" s="246"/>
      <c r="I411" s="249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</row>
    <row r="412" ht="15.75" customHeight="1" spans="1:31">
      <c r="A412" s="175"/>
      <c r="B412" s="175"/>
      <c r="C412" s="239"/>
      <c r="D412" s="240"/>
      <c r="E412" s="175"/>
      <c r="F412" s="175"/>
      <c r="G412" s="175"/>
      <c r="H412" s="246"/>
      <c r="I412" s="249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</row>
    <row r="413" ht="15.75" customHeight="1" spans="1:31">
      <c r="A413" s="175"/>
      <c r="B413" s="175"/>
      <c r="C413" s="239"/>
      <c r="D413" s="240"/>
      <c r="E413" s="175"/>
      <c r="F413" s="175"/>
      <c r="G413" s="175"/>
      <c r="H413" s="246"/>
      <c r="I413" s="249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</row>
    <row r="414" ht="15.75" customHeight="1" spans="1:31">
      <c r="A414" s="175"/>
      <c r="B414" s="175"/>
      <c r="C414" s="239"/>
      <c r="D414" s="240"/>
      <c r="E414" s="175"/>
      <c r="F414" s="175"/>
      <c r="G414" s="175"/>
      <c r="H414" s="246"/>
      <c r="I414" s="249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  <c r="AC414" s="175"/>
      <c r="AD414" s="175"/>
      <c r="AE414" s="175"/>
    </row>
    <row r="415" ht="15.75" customHeight="1" spans="1:31">
      <c r="A415" s="175"/>
      <c r="B415" s="175"/>
      <c r="C415" s="239"/>
      <c r="D415" s="240"/>
      <c r="E415" s="175"/>
      <c r="F415" s="175"/>
      <c r="G415" s="175"/>
      <c r="H415" s="246"/>
      <c r="I415" s="249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  <c r="AA415" s="175"/>
      <c r="AB415" s="175"/>
      <c r="AC415" s="175"/>
      <c r="AD415" s="175"/>
      <c r="AE415" s="175"/>
    </row>
    <row r="416" ht="15.75" customHeight="1" spans="1:31">
      <c r="A416" s="175"/>
      <c r="B416" s="175"/>
      <c r="C416" s="239"/>
      <c r="D416" s="240"/>
      <c r="E416" s="175"/>
      <c r="F416" s="175"/>
      <c r="G416" s="175"/>
      <c r="H416" s="246"/>
      <c r="I416" s="249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  <c r="AA416" s="175"/>
      <c r="AB416" s="175"/>
      <c r="AC416" s="175"/>
      <c r="AD416" s="175"/>
      <c r="AE416" s="175"/>
    </row>
    <row r="417" ht="15.75" customHeight="1" spans="1:31">
      <c r="A417" s="175"/>
      <c r="B417" s="175"/>
      <c r="C417" s="239"/>
      <c r="D417" s="240"/>
      <c r="E417" s="175"/>
      <c r="F417" s="175"/>
      <c r="G417" s="175"/>
      <c r="H417" s="246"/>
      <c r="I417" s="249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  <c r="AA417" s="175"/>
      <c r="AB417" s="175"/>
      <c r="AC417" s="175"/>
      <c r="AD417" s="175"/>
      <c r="AE417" s="175"/>
    </row>
    <row r="418" ht="15.75" customHeight="1" spans="1:31">
      <c r="A418" s="175"/>
      <c r="B418" s="175"/>
      <c r="C418" s="239"/>
      <c r="D418" s="240"/>
      <c r="E418" s="175"/>
      <c r="F418" s="175"/>
      <c r="G418" s="175"/>
      <c r="H418" s="246"/>
      <c r="I418" s="249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  <c r="AA418" s="175"/>
      <c r="AB418" s="175"/>
      <c r="AC418" s="175"/>
      <c r="AD418" s="175"/>
      <c r="AE418" s="175"/>
    </row>
    <row r="419" ht="15.75" customHeight="1" spans="1:31">
      <c r="A419" s="175"/>
      <c r="B419" s="175"/>
      <c r="C419" s="239"/>
      <c r="D419" s="240"/>
      <c r="E419" s="175"/>
      <c r="F419" s="175"/>
      <c r="G419" s="175"/>
      <c r="H419" s="246"/>
      <c r="I419" s="249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</row>
    <row r="420" ht="15.75" customHeight="1" spans="1:31">
      <c r="A420" s="175"/>
      <c r="B420" s="175"/>
      <c r="C420" s="239"/>
      <c r="D420" s="240"/>
      <c r="E420" s="175"/>
      <c r="F420" s="175"/>
      <c r="G420" s="175"/>
      <c r="H420" s="246"/>
      <c r="I420" s="249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  <c r="AA420" s="175"/>
      <c r="AB420" s="175"/>
      <c r="AC420" s="175"/>
      <c r="AD420" s="175"/>
      <c r="AE420" s="175"/>
    </row>
    <row r="421" ht="15.75" customHeight="1" spans="1:31">
      <c r="A421" s="175"/>
      <c r="B421" s="175"/>
      <c r="C421" s="239"/>
      <c r="D421" s="240"/>
      <c r="E421" s="175"/>
      <c r="F421" s="175"/>
      <c r="G421" s="175"/>
      <c r="H421" s="246"/>
      <c r="I421" s="249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  <c r="AA421" s="175"/>
      <c r="AB421" s="175"/>
      <c r="AC421" s="175"/>
      <c r="AD421" s="175"/>
      <c r="AE421" s="175"/>
    </row>
    <row r="422" ht="15.75" customHeight="1" spans="1:31">
      <c r="A422" s="175"/>
      <c r="B422" s="175"/>
      <c r="C422" s="239"/>
      <c r="D422" s="240"/>
      <c r="E422" s="175"/>
      <c r="F422" s="175"/>
      <c r="G422" s="175"/>
      <c r="H422" s="246"/>
      <c r="I422" s="249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  <c r="AA422" s="175"/>
      <c r="AB422" s="175"/>
      <c r="AC422" s="175"/>
      <c r="AD422" s="175"/>
      <c r="AE422" s="175"/>
    </row>
    <row r="423" ht="15.75" customHeight="1" spans="1:31">
      <c r="A423" s="175"/>
      <c r="B423" s="175"/>
      <c r="C423" s="239"/>
      <c r="D423" s="240"/>
      <c r="E423" s="175"/>
      <c r="F423" s="175"/>
      <c r="G423" s="175"/>
      <c r="H423" s="246"/>
      <c r="I423" s="249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  <c r="AA423" s="175"/>
      <c r="AB423" s="175"/>
      <c r="AC423" s="175"/>
      <c r="AD423" s="175"/>
      <c r="AE423" s="175"/>
    </row>
    <row r="424" ht="15.75" customHeight="1" spans="1:31">
      <c r="A424" s="175"/>
      <c r="B424" s="175"/>
      <c r="C424" s="239"/>
      <c r="D424" s="240"/>
      <c r="E424" s="175"/>
      <c r="F424" s="175"/>
      <c r="G424" s="175"/>
      <c r="H424" s="246"/>
      <c r="I424" s="249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  <c r="AA424" s="175"/>
      <c r="AB424" s="175"/>
      <c r="AC424" s="175"/>
      <c r="AD424" s="175"/>
      <c r="AE424" s="175"/>
    </row>
    <row r="425" ht="15.75" customHeight="1" spans="1:31">
      <c r="A425" s="175"/>
      <c r="B425" s="175"/>
      <c r="C425" s="239"/>
      <c r="D425" s="240"/>
      <c r="E425" s="175"/>
      <c r="F425" s="175"/>
      <c r="G425" s="175"/>
      <c r="H425" s="246"/>
      <c r="I425" s="249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  <c r="AA425" s="175"/>
      <c r="AB425" s="175"/>
      <c r="AC425" s="175"/>
      <c r="AD425" s="175"/>
      <c r="AE425" s="175"/>
    </row>
    <row r="426" ht="15.75" customHeight="1" spans="1:31">
      <c r="A426" s="175"/>
      <c r="B426" s="175"/>
      <c r="C426" s="239"/>
      <c r="D426" s="240"/>
      <c r="E426" s="175"/>
      <c r="F426" s="175"/>
      <c r="G426" s="175"/>
      <c r="H426" s="246"/>
      <c r="I426" s="249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  <c r="AA426" s="175"/>
      <c r="AB426" s="175"/>
      <c r="AC426" s="175"/>
      <c r="AD426" s="175"/>
      <c r="AE426" s="175"/>
    </row>
    <row r="427" ht="15.75" customHeight="1" spans="1:31">
      <c r="A427" s="175"/>
      <c r="B427" s="175"/>
      <c r="C427" s="239"/>
      <c r="D427" s="240"/>
      <c r="E427" s="175"/>
      <c r="F427" s="175"/>
      <c r="G427" s="175"/>
      <c r="H427" s="246"/>
      <c r="I427" s="249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  <c r="AA427" s="175"/>
      <c r="AB427" s="175"/>
      <c r="AC427" s="175"/>
      <c r="AD427" s="175"/>
      <c r="AE427" s="175"/>
    </row>
    <row r="428" ht="15.75" customHeight="1" spans="1:31">
      <c r="A428" s="175"/>
      <c r="B428" s="175"/>
      <c r="C428" s="239"/>
      <c r="D428" s="240"/>
      <c r="E428" s="175"/>
      <c r="F428" s="175"/>
      <c r="G428" s="175"/>
      <c r="H428" s="246"/>
      <c r="I428" s="249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  <c r="AA428" s="175"/>
      <c r="AB428" s="175"/>
      <c r="AC428" s="175"/>
      <c r="AD428" s="175"/>
      <c r="AE428" s="175"/>
    </row>
    <row r="429" ht="15.75" customHeight="1" spans="1:31">
      <c r="A429" s="175"/>
      <c r="B429" s="175"/>
      <c r="C429" s="239"/>
      <c r="D429" s="240"/>
      <c r="E429" s="175"/>
      <c r="F429" s="175"/>
      <c r="G429" s="175"/>
      <c r="H429" s="246"/>
      <c r="I429" s="249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  <c r="AA429" s="175"/>
      <c r="AB429" s="175"/>
      <c r="AC429" s="175"/>
      <c r="AD429" s="175"/>
      <c r="AE429" s="175"/>
    </row>
    <row r="430" ht="15.75" customHeight="1" spans="1:31">
      <c r="A430" s="175"/>
      <c r="B430" s="175"/>
      <c r="C430" s="239"/>
      <c r="D430" s="240"/>
      <c r="E430" s="175"/>
      <c r="F430" s="175"/>
      <c r="G430" s="175"/>
      <c r="H430" s="246"/>
      <c r="I430" s="249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  <c r="AA430" s="175"/>
      <c r="AB430" s="175"/>
      <c r="AC430" s="175"/>
      <c r="AD430" s="175"/>
      <c r="AE430" s="175"/>
    </row>
    <row r="431" ht="15.75" customHeight="1" spans="1:31">
      <c r="A431" s="175"/>
      <c r="B431" s="175"/>
      <c r="C431" s="239"/>
      <c r="D431" s="240"/>
      <c r="E431" s="175"/>
      <c r="F431" s="175"/>
      <c r="G431" s="175"/>
      <c r="H431" s="246"/>
      <c r="I431" s="249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  <c r="AA431" s="175"/>
      <c r="AB431" s="175"/>
      <c r="AC431" s="175"/>
      <c r="AD431" s="175"/>
      <c r="AE431" s="175"/>
    </row>
    <row r="432" ht="15.75" customHeight="1" spans="1:31">
      <c r="A432" s="175"/>
      <c r="B432" s="175"/>
      <c r="C432" s="239"/>
      <c r="D432" s="240"/>
      <c r="E432" s="175"/>
      <c r="F432" s="175"/>
      <c r="G432" s="175"/>
      <c r="H432" s="246"/>
      <c r="I432" s="249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  <c r="AA432" s="175"/>
      <c r="AB432" s="175"/>
      <c r="AC432" s="175"/>
      <c r="AD432" s="175"/>
      <c r="AE432" s="175"/>
    </row>
    <row r="433" ht="15.75" customHeight="1" spans="1:31">
      <c r="A433" s="175"/>
      <c r="B433" s="175"/>
      <c r="C433" s="239"/>
      <c r="D433" s="240"/>
      <c r="E433" s="175"/>
      <c r="F433" s="175"/>
      <c r="G433" s="175"/>
      <c r="H433" s="246"/>
      <c r="I433" s="249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  <c r="AA433" s="175"/>
      <c r="AB433" s="175"/>
      <c r="AC433" s="175"/>
      <c r="AD433" s="175"/>
      <c r="AE433" s="175"/>
    </row>
    <row r="434" ht="15.75" customHeight="1" spans="1:31">
      <c r="A434" s="175"/>
      <c r="B434" s="175"/>
      <c r="C434" s="239"/>
      <c r="D434" s="240"/>
      <c r="E434" s="175"/>
      <c r="F434" s="175"/>
      <c r="G434" s="175"/>
      <c r="H434" s="246"/>
      <c r="I434" s="249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  <c r="AA434" s="175"/>
      <c r="AB434" s="175"/>
      <c r="AC434" s="175"/>
      <c r="AD434" s="175"/>
      <c r="AE434" s="175"/>
    </row>
    <row r="435" ht="15.75" customHeight="1" spans="1:31">
      <c r="A435" s="175"/>
      <c r="B435" s="175"/>
      <c r="C435" s="239"/>
      <c r="D435" s="240"/>
      <c r="E435" s="175"/>
      <c r="F435" s="175"/>
      <c r="G435" s="175"/>
      <c r="H435" s="246"/>
      <c r="I435" s="249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  <c r="AA435" s="175"/>
      <c r="AB435" s="175"/>
      <c r="AC435" s="175"/>
      <c r="AD435" s="175"/>
      <c r="AE435" s="175"/>
    </row>
    <row r="436" ht="15.75" customHeight="1" spans="1:31">
      <c r="A436" s="175"/>
      <c r="B436" s="175"/>
      <c r="C436" s="239"/>
      <c r="D436" s="240"/>
      <c r="E436" s="175"/>
      <c r="F436" s="175"/>
      <c r="G436" s="175"/>
      <c r="H436" s="246"/>
      <c r="I436" s="249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  <c r="AA436" s="175"/>
      <c r="AB436" s="175"/>
      <c r="AC436" s="175"/>
      <c r="AD436" s="175"/>
      <c r="AE436" s="175"/>
    </row>
    <row r="437" ht="15.75" customHeight="1" spans="1:31">
      <c r="A437" s="175"/>
      <c r="B437" s="175"/>
      <c r="C437" s="239"/>
      <c r="D437" s="240"/>
      <c r="E437" s="175"/>
      <c r="F437" s="175"/>
      <c r="G437" s="175"/>
      <c r="H437" s="246"/>
      <c r="I437" s="249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  <c r="AA437" s="175"/>
      <c r="AB437" s="175"/>
      <c r="AC437" s="175"/>
      <c r="AD437" s="175"/>
      <c r="AE437" s="175"/>
    </row>
    <row r="438" ht="15.75" customHeight="1" spans="1:31">
      <c r="A438" s="175"/>
      <c r="B438" s="175"/>
      <c r="C438" s="239"/>
      <c r="D438" s="240"/>
      <c r="E438" s="175"/>
      <c r="F438" s="175"/>
      <c r="G438" s="175"/>
      <c r="H438" s="246"/>
      <c r="I438" s="249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  <c r="AA438" s="175"/>
      <c r="AB438" s="175"/>
      <c r="AC438" s="175"/>
      <c r="AD438" s="175"/>
      <c r="AE438" s="175"/>
    </row>
    <row r="439" ht="15.75" customHeight="1" spans="1:31">
      <c r="A439" s="175"/>
      <c r="B439" s="175"/>
      <c r="C439" s="239"/>
      <c r="D439" s="240"/>
      <c r="E439" s="175"/>
      <c r="F439" s="175"/>
      <c r="G439" s="175"/>
      <c r="H439" s="246"/>
      <c r="I439" s="249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  <c r="AA439" s="175"/>
      <c r="AB439" s="175"/>
      <c r="AC439" s="175"/>
      <c r="AD439" s="175"/>
      <c r="AE439" s="175"/>
    </row>
    <row r="440" ht="15.75" customHeight="1" spans="1:31">
      <c r="A440" s="175"/>
      <c r="B440" s="175"/>
      <c r="C440" s="239"/>
      <c r="D440" s="240"/>
      <c r="E440" s="175"/>
      <c r="F440" s="175"/>
      <c r="G440" s="175"/>
      <c r="H440" s="246"/>
      <c r="I440" s="249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  <c r="AA440" s="175"/>
      <c r="AB440" s="175"/>
      <c r="AC440" s="175"/>
      <c r="AD440" s="175"/>
      <c r="AE440" s="175"/>
    </row>
    <row r="441" ht="15.75" customHeight="1" spans="1:31">
      <c r="A441" s="175"/>
      <c r="B441" s="175"/>
      <c r="C441" s="239"/>
      <c r="D441" s="240"/>
      <c r="E441" s="175"/>
      <c r="F441" s="175"/>
      <c r="G441" s="175"/>
      <c r="H441" s="246"/>
      <c r="I441" s="249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  <c r="AA441" s="175"/>
      <c r="AB441" s="175"/>
      <c r="AC441" s="175"/>
      <c r="AD441" s="175"/>
      <c r="AE441" s="175"/>
    </row>
    <row r="442" ht="15.75" customHeight="1" spans="1:31">
      <c r="A442" s="175"/>
      <c r="B442" s="175"/>
      <c r="C442" s="239"/>
      <c r="D442" s="240"/>
      <c r="E442" s="175"/>
      <c r="F442" s="175"/>
      <c r="G442" s="175"/>
      <c r="H442" s="246"/>
      <c r="I442" s="249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  <c r="AA442" s="175"/>
      <c r="AB442" s="175"/>
      <c r="AC442" s="175"/>
      <c r="AD442" s="175"/>
      <c r="AE442" s="175"/>
    </row>
    <row r="443" ht="15.75" customHeight="1" spans="1:31">
      <c r="A443" s="175"/>
      <c r="B443" s="175"/>
      <c r="C443" s="239"/>
      <c r="D443" s="240"/>
      <c r="E443" s="175"/>
      <c r="F443" s="175"/>
      <c r="G443" s="175"/>
      <c r="H443" s="246"/>
      <c r="I443" s="249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  <c r="AA443" s="175"/>
      <c r="AB443" s="175"/>
      <c r="AC443" s="175"/>
      <c r="AD443" s="175"/>
      <c r="AE443" s="175"/>
    </row>
    <row r="444" ht="15.75" customHeight="1" spans="1:31">
      <c r="A444" s="175"/>
      <c r="B444" s="175"/>
      <c r="C444" s="239"/>
      <c r="D444" s="240"/>
      <c r="E444" s="175"/>
      <c r="F444" s="175"/>
      <c r="G444" s="175"/>
      <c r="H444" s="246"/>
      <c r="I444" s="249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  <c r="AA444" s="175"/>
      <c r="AB444" s="175"/>
      <c r="AC444" s="175"/>
      <c r="AD444" s="175"/>
      <c r="AE444" s="175"/>
    </row>
    <row r="445" ht="15.75" customHeight="1" spans="1:31">
      <c r="A445" s="175"/>
      <c r="B445" s="175"/>
      <c r="C445" s="239"/>
      <c r="D445" s="240"/>
      <c r="E445" s="175"/>
      <c r="F445" s="175"/>
      <c r="G445" s="175"/>
      <c r="H445" s="246"/>
      <c r="I445" s="249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  <c r="AA445" s="175"/>
      <c r="AB445" s="175"/>
      <c r="AC445" s="175"/>
      <c r="AD445" s="175"/>
      <c r="AE445" s="175"/>
    </row>
    <row r="446" ht="15.75" customHeight="1" spans="1:31">
      <c r="A446" s="175"/>
      <c r="B446" s="175"/>
      <c r="C446" s="239"/>
      <c r="D446" s="240"/>
      <c r="E446" s="175"/>
      <c r="F446" s="175"/>
      <c r="G446" s="175"/>
      <c r="H446" s="246"/>
      <c r="I446" s="249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  <c r="AA446" s="175"/>
      <c r="AB446" s="175"/>
      <c r="AC446" s="175"/>
      <c r="AD446" s="175"/>
      <c r="AE446" s="175"/>
    </row>
    <row r="447" ht="15.75" customHeight="1" spans="1:31">
      <c r="A447" s="175"/>
      <c r="B447" s="175"/>
      <c r="C447" s="239"/>
      <c r="D447" s="240"/>
      <c r="E447" s="175"/>
      <c r="F447" s="175"/>
      <c r="G447" s="175"/>
      <c r="H447" s="246"/>
      <c r="I447" s="249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  <c r="AA447" s="175"/>
      <c r="AB447" s="175"/>
      <c r="AC447" s="175"/>
      <c r="AD447" s="175"/>
      <c r="AE447" s="175"/>
    </row>
    <row r="448" ht="15.75" customHeight="1" spans="1:31">
      <c r="A448" s="175"/>
      <c r="B448" s="175"/>
      <c r="C448" s="239"/>
      <c r="D448" s="240"/>
      <c r="E448" s="175"/>
      <c r="F448" s="175"/>
      <c r="G448" s="175"/>
      <c r="H448" s="246"/>
      <c r="I448" s="249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  <c r="AA448" s="175"/>
      <c r="AB448" s="175"/>
      <c r="AC448" s="175"/>
      <c r="AD448" s="175"/>
      <c r="AE448" s="175"/>
    </row>
    <row r="449" ht="15.75" customHeight="1" spans="1:31">
      <c r="A449" s="175"/>
      <c r="B449" s="175"/>
      <c r="C449" s="239"/>
      <c r="D449" s="240"/>
      <c r="E449" s="175"/>
      <c r="F449" s="175"/>
      <c r="G449" s="175"/>
      <c r="H449" s="246"/>
      <c r="I449" s="249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  <c r="AA449" s="175"/>
      <c r="AB449" s="175"/>
      <c r="AC449" s="175"/>
      <c r="AD449" s="175"/>
      <c r="AE449" s="175"/>
    </row>
    <row r="450" ht="15.75" customHeight="1" spans="1:31">
      <c r="A450" s="175"/>
      <c r="B450" s="175"/>
      <c r="C450" s="239"/>
      <c r="D450" s="240"/>
      <c r="E450" s="175"/>
      <c r="F450" s="175"/>
      <c r="G450" s="175"/>
      <c r="H450" s="246"/>
      <c r="I450" s="249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  <c r="AA450" s="175"/>
      <c r="AB450" s="175"/>
      <c r="AC450" s="175"/>
      <c r="AD450" s="175"/>
      <c r="AE450" s="175"/>
    </row>
    <row r="451" ht="15.75" customHeight="1" spans="1:31">
      <c r="A451" s="175"/>
      <c r="B451" s="175"/>
      <c r="C451" s="239"/>
      <c r="D451" s="240"/>
      <c r="E451" s="175"/>
      <c r="F451" s="175"/>
      <c r="G451" s="175"/>
      <c r="H451" s="246"/>
      <c r="I451" s="249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  <c r="AA451" s="175"/>
      <c r="AB451" s="175"/>
      <c r="AC451" s="175"/>
      <c r="AD451" s="175"/>
      <c r="AE451" s="175"/>
    </row>
    <row r="452" ht="15.75" customHeight="1" spans="1:31">
      <c r="A452" s="175"/>
      <c r="B452" s="175"/>
      <c r="C452" s="239"/>
      <c r="D452" s="240"/>
      <c r="E452" s="175"/>
      <c r="F452" s="175"/>
      <c r="G452" s="175"/>
      <c r="H452" s="246"/>
      <c r="I452" s="249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  <c r="AA452" s="175"/>
      <c r="AB452" s="175"/>
      <c r="AC452" s="175"/>
      <c r="AD452" s="175"/>
      <c r="AE452" s="175"/>
    </row>
    <row r="453" ht="15.75" customHeight="1" spans="1:31">
      <c r="A453" s="175"/>
      <c r="B453" s="175"/>
      <c r="C453" s="239"/>
      <c r="D453" s="240"/>
      <c r="E453" s="175"/>
      <c r="F453" s="175"/>
      <c r="G453" s="175"/>
      <c r="H453" s="246"/>
      <c r="I453" s="249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  <c r="AA453" s="175"/>
      <c r="AB453" s="175"/>
      <c r="AC453" s="175"/>
      <c r="AD453" s="175"/>
      <c r="AE453" s="175"/>
    </row>
    <row r="454" ht="15.75" customHeight="1" spans="1:31">
      <c r="A454" s="175"/>
      <c r="B454" s="175"/>
      <c r="C454" s="239"/>
      <c r="D454" s="240"/>
      <c r="E454" s="175"/>
      <c r="F454" s="175"/>
      <c r="G454" s="175"/>
      <c r="H454" s="246"/>
      <c r="I454" s="249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  <c r="AA454" s="175"/>
      <c r="AB454" s="175"/>
      <c r="AC454" s="175"/>
      <c r="AD454" s="175"/>
      <c r="AE454" s="175"/>
    </row>
    <row r="455" ht="15.75" customHeight="1" spans="1:31">
      <c r="A455" s="175"/>
      <c r="B455" s="175"/>
      <c r="C455" s="239"/>
      <c r="D455" s="240"/>
      <c r="E455" s="175"/>
      <c r="F455" s="175"/>
      <c r="G455" s="175"/>
      <c r="H455" s="246"/>
      <c r="I455" s="249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  <c r="AA455" s="175"/>
      <c r="AB455" s="175"/>
      <c r="AC455" s="175"/>
      <c r="AD455" s="175"/>
      <c r="AE455" s="175"/>
    </row>
    <row r="456" ht="15.75" customHeight="1" spans="1:31">
      <c r="A456" s="175"/>
      <c r="B456" s="175"/>
      <c r="C456" s="239"/>
      <c r="D456" s="240"/>
      <c r="E456" s="175"/>
      <c r="F456" s="175"/>
      <c r="G456" s="175"/>
      <c r="H456" s="246"/>
      <c r="I456" s="249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  <c r="AA456" s="175"/>
      <c r="AB456" s="175"/>
      <c r="AC456" s="175"/>
      <c r="AD456" s="175"/>
      <c r="AE456" s="175"/>
    </row>
    <row r="457" ht="15.75" customHeight="1" spans="1:31">
      <c r="A457" s="175"/>
      <c r="B457" s="175"/>
      <c r="C457" s="239"/>
      <c r="D457" s="240"/>
      <c r="E457" s="175"/>
      <c r="F457" s="175"/>
      <c r="G457" s="175"/>
      <c r="H457" s="246"/>
      <c r="I457" s="249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  <c r="AA457" s="175"/>
      <c r="AB457" s="175"/>
      <c r="AC457" s="175"/>
      <c r="AD457" s="175"/>
      <c r="AE457" s="175"/>
    </row>
    <row r="458" ht="15.75" customHeight="1" spans="1:31">
      <c r="A458" s="175"/>
      <c r="B458" s="175"/>
      <c r="C458" s="239"/>
      <c r="D458" s="240"/>
      <c r="E458" s="175"/>
      <c r="F458" s="175"/>
      <c r="G458" s="175"/>
      <c r="H458" s="246"/>
      <c r="I458" s="249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  <c r="AA458" s="175"/>
      <c r="AB458" s="175"/>
      <c r="AC458" s="175"/>
      <c r="AD458" s="175"/>
      <c r="AE458" s="175"/>
    </row>
    <row r="459" ht="15.75" customHeight="1" spans="1:31">
      <c r="A459" s="175"/>
      <c r="B459" s="175"/>
      <c r="C459" s="239"/>
      <c r="D459" s="240"/>
      <c r="E459" s="175"/>
      <c r="F459" s="175"/>
      <c r="G459" s="175"/>
      <c r="H459" s="246"/>
      <c r="I459" s="249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  <c r="AA459" s="175"/>
      <c r="AB459" s="175"/>
      <c r="AC459" s="175"/>
      <c r="AD459" s="175"/>
      <c r="AE459" s="175"/>
    </row>
    <row r="460" ht="15.75" customHeight="1" spans="1:31">
      <c r="A460" s="175"/>
      <c r="B460" s="175"/>
      <c r="C460" s="239"/>
      <c r="D460" s="240"/>
      <c r="E460" s="175"/>
      <c r="F460" s="175"/>
      <c r="G460" s="175"/>
      <c r="H460" s="246"/>
      <c r="I460" s="249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  <c r="AA460" s="175"/>
      <c r="AB460" s="175"/>
      <c r="AC460" s="175"/>
      <c r="AD460" s="175"/>
      <c r="AE460" s="175"/>
    </row>
    <row r="461" ht="15.75" customHeight="1" spans="1:31">
      <c r="A461" s="175"/>
      <c r="B461" s="175"/>
      <c r="C461" s="239"/>
      <c r="D461" s="240"/>
      <c r="E461" s="175"/>
      <c r="F461" s="175"/>
      <c r="G461" s="175"/>
      <c r="H461" s="246"/>
      <c r="I461" s="249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  <c r="AA461" s="175"/>
      <c r="AB461" s="175"/>
      <c r="AC461" s="175"/>
      <c r="AD461" s="175"/>
      <c r="AE461" s="175"/>
    </row>
    <row r="462" ht="15.75" customHeight="1" spans="1:31">
      <c r="A462" s="175"/>
      <c r="B462" s="175"/>
      <c r="C462" s="239"/>
      <c r="D462" s="240"/>
      <c r="E462" s="175"/>
      <c r="F462" s="175"/>
      <c r="G462" s="175"/>
      <c r="H462" s="246"/>
      <c r="I462" s="249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  <c r="AA462" s="175"/>
      <c r="AB462" s="175"/>
      <c r="AC462" s="175"/>
      <c r="AD462" s="175"/>
      <c r="AE462" s="175"/>
    </row>
    <row r="463" ht="15.75" customHeight="1" spans="1:31">
      <c r="A463" s="175"/>
      <c r="B463" s="175"/>
      <c r="C463" s="239"/>
      <c r="D463" s="240"/>
      <c r="E463" s="175"/>
      <c r="F463" s="175"/>
      <c r="G463" s="175"/>
      <c r="H463" s="246"/>
      <c r="I463" s="249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  <c r="AA463" s="175"/>
      <c r="AB463" s="175"/>
      <c r="AC463" s="175"/>
      <c r="AD463" s="175"/>
      <c r="AE463" s="175"/>
    </row>
    <row r="464" ht="15.75" customHeight="1" spans="1:31">
      <c r="A464" s="175"/>
      <c r="B464" s="175"/>
      <c r="C464" s="239"/>
      <c r="D464" s="240"/>
      <c r="E464" s="175"/>
      <c r="F464" s="175"/>
      <c r="G464" s="175"/>
      <c r="H464" s="246"/>
      <c r="I464" s="249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  <c r="AA464" s="175"/>
      <c r="AB464" s="175"/>
      <c r="AC464" s="175"/>
      <c r="AD464" s="175"/>
      <c r="AE464" s="175"/>
    </row>
    <row r="465" ht="15.75" customHeight="1" spans="1:31">
      <c r="A465" s="175"/>
      <c r="B465" s="175"/>
      <c r="C465" s="239"/>
      <c r="D465" s="240"/>
      <c r="E465" s="175"/>
      <c r="F465" s="175"/>
      <c r="G465" s="175"/>
      <c r="H465" s="246"/>
      <c r="I465" s="249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  <c r="AA465" s="175"/>
      <c r="AB465" s="175"/>
      <c r="AC465" s="175"/>
      <c r="AD465" s="175"/>
      <c r="AE465" s="175"/>
    </row>
    <row r="466" ht="15.75" customHeight="1" spans="1:31">
      <c r="A466" s="175"/>
      <c r="B466" s="175"/>
      <c r="C466" s="239"/>
      <c r="D466" s="240"/>
      <c r="E466" s="175"/>
      <c r="F466" s="175"/>
      <c r="G466" s="175"/>
      <c r="H466" s="246"/>
      <c r="I466" s="249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  <c r="AA466" s="175"/>
      <c r="AB466" s="175"/>
      <c r="AC466" s="175"/>
      <c r="AD466" s="175"/>
      <c r="AE466" s="175"/>
    </row>
    <row r="467" ht="15.75" customHeight="1" spans="1:31">
      <c r="A467" s="175"/>
      <c r="B467" s="175"/>
      <c r="C467" s="239"/>
      <c r="D467" s="240"/>
      <c r="E467" s="175"/>
      <c r="F467" s="175"/>
      <c r="G467" s="175"/>
      <c r="H467" s="246"/>
      <c r="I467" s="249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  <c r="AA467" s="175"/>
      <c r="AB467" s="175"/>
      <c r="AC467" s="175"/>
      <c r="AD467" s="175"/>
      <c r="AE467" s="175"/>
    </row>
    <row r="468" ht="15.75" customHeight="1" spans="1:31">
      <c r="A468" s="175"/>
      <c r="B468" s="175"/>
      <c r="C468" s="239"/>
      <c r="D468" s="240"/>
      <c r="E468" s="175"/>
      <c r="F468" s="175"/>
      <c r="G468" s="175"/>
      <c r="H468" s="246"/>
      <c r="I468" s="249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  <c r="AA468" s="175"/>
      <c r="AB468" s="175"/>
      <c r="AC468" s="175"/>
      <c r="AD468" s="175"/>
      <c r="AE468" s="175"/>
    </row>
    <row r="469" ht="15.75" customHeight="1" spans="1:31">
      <c r="A469" s="175"/>
      <c r="B469" s="175"/>
      <c r="C469" s="239"/>
      <c r="D469" s="240"/>
      <c r="E469" s="175"/>
      <c r="F469" s="175"/>
      <c r="G469" s="175"/>
      <c r="H469" s="246"/>
      <c r="I469" s="249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  <c r="AA469" s="175"/>
      <c r="AB469" s="175"/>
      <c r="AC469" s="175"/>
      <c r="AD469" s="175"/>
      <c r="AE469" s="175"/>
    </row>
    <row r="470" ht="15.75" customHeight="1" spans="1:31">
      <c r="A470" s="175"/>
      <c r="B470" s="175"/>
      <c r="C470" s="239"/>
      <c r="D470" s="240"/>
      <c r="E470" s="175"/>
      <c r="F470" s="175"/>
      <c r="G470" s="175"/>
      <c r="H470" s="246"/>
      <c r="I470" s="249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  <c r="AA470" s="175"/>
      <c r="AB470" s="175"/>
      <c r="AC470" s="175"/>
      <c r="AD470" s="175"/>
      <c r="AE470" s="175"/>
    </row>
    <row r="471" ht="15.75" customHeight="1" spans="1:31">
      <c r="A471" s="175"/>
      <c r="B471" s="175"/>
      <c r="C471" s="239"/>
      <c r="D471" s="240"/>
      <c r="E471" s="175"/>
      <c r="F471" s="175"/>
      <c r="G471" s="175"/>
      <c r="H471" s="246"/>
      <c r="I471" s="249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  <c r="AA471" s="175"/>
      <c r="AB471" s="175"/>
      <c r="AC471" s="175"/>
      <c r="AD471" s="175"/>
      <c r="AE471" s="175"/>
    </row>
    <row r="472" ht="15.75" customHeight="1" spans="1:31">
      <c r="A472" s="175"/>
      <c r="B472" s="175"/>
      <c r="C472" s="239"/>
      <c r="D472" s="240"/>
      <c r="E472" s="175"/>
      <c r="F472" s="175"/>
      <c r="G472" s="175"/>
      <c r="H472" s="246"/>
      <c r="I472" s="249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  <c r="AA472" s="175"/>
      <c r="AB472" s="175"/>
      <c r="AC472" s="175"/>
      <c r="AD472" s="175"/>
      <c r="AE472" s="175"/>
    </row>
    <row r="473" ht="15.75" customHeight="1" spans="1:31">
      <c r="A473" s="175"/>
      <c r="B473" s="175"/>
      <c r="C473" s="239"/>
      <c r="D473" s="240"/>
      <c r="E473" s="175"/>
      <c r="F473" s="175"/>
      <c r="G473" s="175"/>
      <c r="H473" s="246"/>
      <c r="I473" s="249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  <c r="AA473" s="175"/>
      <c r="AB473" s="175"/>
      <c r="AC473" s="175"/>
      <c r="AD473" s="175"/>
      <c r="AE473" s="175"/>
    </row>
    <row r="474" ht="15.75" customHeight="1" spans="1:31">
      <c r="A474" s="175"/>
      <c r="B474" s="175"/>
      <c r="C474" s="239"/>
      <c r="D474" s="240"/>
      <c r="E474" s="175"/>
      <c r="F474" s="175"/>
      <c r="G474" s="175"/>
      <c r="H474" s="246"/>
      <c r="I474" s="249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  <c r="AA474" s="175"/>
      <c r="AB474" s="175"/>
      <c r="AC474" s="175"/>
      <c r="AD474" s="175"/>
      <c r="AE474" s="175"/>
    </row>
    <row r="475" ht="15.75" customHeight="1" spans="1:31">
      <c r="A475" s="175"/>
      <c r="B475" s="175"/>
      <c r="C475" s="239"/>
      <c r="D475" s="240"/>
      <c r="E475" s="175"/>
      <c r="F475" s="175"/>
      <c r="G475" s="175"/>
      <c r="H475" s="246"/>
      <c r="I475" s="249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  <c r="AA475" s="175"/>
      <c r="AB475" s="175"/>
      <c r="AC475" s="175"/>
      <c r="AD475" s="175"/>
      <c r="AE475" s="175"/>
    </row>
    <row r="476" ht="15.75" customHeight="1" spans="1:31">
      <c r="A476" s="175"/>
      <c r="B476" s="175"/>
      <c r="C476" s="239"/>
      <c r="D476" s="240"/>
      <c r="E476" s="175"/>
      <c r="F476" s="175"/>
      <c r="G476" s="175"/>
      <c r="H476" s="246"/>
      <c r="I476" s="249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  <c r="AA476" s="175"/>
      <c r="AB476" s="175"/>
      <c r="AC476" s="175"/>
      <c r="AD476" s="175"/>
      <c r="AE476" s="175"/>
    </row>
    <row r="477" ht="15.75" customHeight="1" spans="1:31">
      <c r="A477" s="175"/>
      <c r="B477" s="175"/>
      <c r="C477" s="239"/>
      <c r="D477" s="240"/>
      <c r="E477" s="175"/>
      <c r="F477" s="175"/>
      <c r="G477" s="175"/>
      <c r="H477" s="246"/>
      <c r="I477" s="249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  <c r="AA477" s="175"/>
      <c r="AB477" s="175"/>
      <c r="AC477" s="175"/>
      <c r="AD477" s="175"/>
      <c r="AE477" s="175"/>
    </row>
    <row r="478" ht="15.75" customHeight="1" spans="1:31">
      <c r="A478" s="175"/>
      <c r="B478" s="175"/>
      <c r="C478" s="239"/>
      <c r="D478" s="240"/>
      <c r="E478" s="175"/>
      <c r="F478" s="175"/>
      <c r="G478" s="175"/>
      <c r="H478" s="246"/>
      <c r="I478" s="249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  <c r="AA478" s="175"/>
      <c r="AB478" s="175"/>
      <c r="AC478" s="175"/>
      <c r="AD478" s="175"/>
      <c r="AE478" s="175"/>
    </row>
    <row r="479" ht="15.75" customHeight="1" spans="1:31">
      <c r="A479" s="175"/>
      <c r="B479" s="175"/>
      <c r="C479" s="239"/>
      <c r="D479" s="240"/>
      <c r="E479" s="175"/>
      <c r="F479" s="175"/>
      <c r="G479" s="175"/>
      <c r="H479" s="246"/>
      <c r="I479" s="249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  <c r="AA479" s="175"/>
      <c r="AB479" s="175"/>
      <c r="AC479" s="175"/>
      <c r="AD479" s="175"/>
      <c r="AE479" s="175"/>
    </row>
    <row r="480" ht="15.75" customHeight="1" spans="1:31">
      <c r="A480" s="175"/>
      <c r="B480" s="175"/>
      <c r="C480" s="239"/>
      <c r="D480" s="240"/>
      <c r="E480" s="175"/>
      <c r="F480" s="175"/>
      <c r="G480" s="175"/>
      <c r="H480" s="246"/>
      <c r="I480" s="249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  <c r="AA480" s="175"/>
      <c r="AB480" s="175"/>
      <c r="AC480" s="175"/>
      <c r="AD480" s="175"/>
      <c r="AE480" s="175"/>
    </row>
    <row r="481" ht="15.75" customHeight="1" spans="1:31">
      <c r="A481" s="175"/>
      <c r="B481" s="175"/>
      <c r="C481" s="239"/>
      <c r="D481" s="240"/>
      <c r="E481" s="175"/>
      <c r="F481" s="175"/>
      <c r="G481" s="175"/>
      <c r="H481" s="246"/>
      <c r="I481" s="249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  <c r="AA481" s="175"/>
      <c r="AB481" s="175"/>
      <c r="AC481" s="175"/>
      <c r="AD481" s="175"/>
      <c r="AE481" s="175"/>
    </row>
    <row r="482" ht="15.75" customHeight="1" spans="1:31">
      <c r="A482" s="175"/>
      <c r="B482" s="175"/>
      <c r="C482" s="239"/>
      <c r="D482" s="240"/>
      <c r="E482" s="175"/>
      <c r="F482" s="175"/>
      <c r="G482" s="175"/>
      <c r="H482" s="246"/>
      <c r="I482" s="249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  <c r="AA482" s="175"/>
      <c r="AB482" s="175"/>
      <c r="AC482" s="175"/>
      <c r="AD482" s="175"/>
      <c r="AE482" s="175"/>
    </row>
    <row r="483" ht="15.75" customHeight="1" spans="1:31">
      <c r="A483" s="175"/>
      <c r="B483" s="175"/>
      <c r="C483" s="239"/>
      <c r="D483" s="240"/>
      <c r="E483" s="175"/>
      <c r="F483" s="175"/>
      <c r="G483" s="175"/>
      <c r="H483" s="246"/>
      <c r="I483" s="249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  <c r="AA483" s="175"/>
      <c r="AB483" s="175"/>
      <c r="AC483" s="175"/>
      <c r="AD483" s="175"/>
      <c r="AE483" s="175"/>
    </row>
    <row r="484" ht="15.75" customHeight="1" spans="1:31">
      <c r="A484" s="175"/>
      <c r="B484" s="175"/>
      <c r="C484" s="239"/>
      <c r="D484" s="240"/>
      <c r="E484" s="175"/>
      <c r="F484" s="175"/>
      <c r="G484" s="175"/>
      <c r="H484" s="246"/>
      <c r="I484" s="249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  <c r="AA484" s="175"/>
      <c r="AB484" s="175"/>
      <c r="AC484" s="175"/>
      <c r="AD484" s="175"/>
      <c r="AE484" s="175"/>
    </row>
    <row r="485" ht="15.75" customHeight="1" spans="1:31">
      <c r="A485" s="175"/>
      <c r="B485" s="175"/>
      <c r="C485" s="239"/>
      <c r="D485" s="240"/>
      <c r="E485" s="175"/>
      <c r="F485" s="175"/>
      <c r="G485" s="175"/>
      <c r="H485" s="246"/>
      <c r="I485" s="249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  <c r="AA485" s="175"/>
      <c r="AB485" s="175"/>
      <c r="AC485" s="175"/>
      <c r="AD485" s="175"/>
      <c r="AE485" s="175"/>
    </row>
    <row r="486" ht="15.75" customHeight="1" spans="1:31">
      <c r="A486" s="175"/>
      <c r="B486" s="175"/>
      <c r="C486" s="239"/>
      <c r="D486" s="240"/>
      <c r="E486" s="175"/>
      <c r="F486" s="175"/>
      <c r="G486" s="175"/>
      <c r="H486" s="246"/>
      <c r="I486" s="249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  <c r="AA486" s="175"/>
      <c r="AB486" s="175"/>
      <c r="AC486" s="175"/>
      <c r="AD486" s="175"/>
      <c r="AE486" s="175"/>
    </row>
    <row r="487" ht="15.75" customHeight="1" spans="1:31">
      <c r="A487" s="175"/>
      <c r="B487" s="175"/>
      <c r="C487" s="239"/>
      <c r="D487" s="240"/>
      <c r="E487" s="175"/>
      <c r="F487" s="175"/>
      <c r="G487" s="175"/>
      <c r="H487" s="246"/>
      <c r="I487" s="249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  <c r="AA487" s="175"/>
      <c r="AB487" s="175"/>
      <c r="AC487" s="175"/>
      <c r="AD487" s="175"/>
      <c r="AE487" s="175"/>
    </row>
    <row r="488" ht="15.75" customHeight="1" spans="1:31">
      <c r="A488" s="175"/>
      <c r="B488" s="175"/>
      <c r="C488" s="239"/>
      <c r="D488" s="240"/>
      <c r="E488" s="175"/>
      <c r="F488" s="175"/>
      <c r="G488" s="175"/>
      <c r="H488" s="246"/>
      <c r="I488" s="249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  <c r="AA488" s="175"/>
      <c r="AB488" s="175"/>
      <c r="AC488" s="175"/>
      <c r="AD488" s="175"/>
      <c r="AE488" s="175"/>
    </row>
    <row r="489" ht="15.75" customHeight="1" spans="1:31">
      <c r="A489" s="175"/>
      <c r="B489" s="175"/>
      <c r="C489" s="239"/>
      <c r="D489" s="240"/>
      <c r="E489" s="175"/>
      <c r="F489" s="175"/>
      <c r="G489" s="175"/>
      <c r="H489" s="246"/>
      <c r="I489" s="249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  <c r="AA489" s="175"/>
      <c r="AB489" s="175"/>
      <c r="AC489" s="175"/>
      <c r="AD489" s="175"/>
      <c r="AE489" s="175"/>
    </row>
    <row r="490" ht="15.75" customHeight="1" spans="1:31">
      <c r="A490" s="175"/>
      <c r="B490" s="175"/>
      <c r="C490" s="239"/>
      <c r="D490" s="240"/>
      <c r="E490" s="175"/>
      <c r="F490" s="175"/>
      <c r="G490" s="175"/>
      <c r="H490" s="246"/>
      <c r="I490" s="249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  <c r="AA490" s="175"/>
      <c r="AB490" s="175"/>
      <c r="AC490" s="175"/>
      <c r="AD490" s="175"/>
      <c r="AE490" s="175"/>
    </row>
    <row r="491" ht="15.75" customHeight="1" spans="1:31">
      <c r="A491" s="175"/>
      <c r="B491" s="175"/>
      <c r="C491" s="239"/>
      <c r="D491" s="240"/>
      <c r="E491" s="175"/>
      <c r="F491" s="175"/>
      <c r="G491" s="175"/>
      <c r="H491" s="246"/>
      <c r="I491" s="249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  <c r="AA491" s="175"/>
      <c r="AB491" s="175"/>
      <c r="AC491" s="175"/>
      <c r="AD491" s="175"/>
      <c r="AE491" s="175"/>
    </row>
    <row r="492" ht="15.75" customHeight="1" spans="1:31">
      <c r="A492" s="175"/>
      <c r="B492" s="175"/>
      <c r="C492" s="239"/>
      <c r="D492" s="240"/>
      <c r="E492" s="175"/>
      <c r="F492" s="175"/>
      <c r="G492" s="175"/>
      <c r="H492" s="246"/>
      <c r="I492" s="249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  <c r="AA492" s="175"/>
      <c r="AB492" s="175"/>
      <c r="AC492" s="175"/>
      <c r="AD492" s="175"/>
      <c r="AE492" s="175"/>
    </row>
    <row r="493" ht="15.75" customHeight="1" spans="1:31">
      <c r="A493" s="175"/>
      <c r="B493" s="175"/>
      <c r="C493" s="239"/>
      <c r="D493" s="240"/>
      <c r="E493" s="175"/>
      <c r="F493" s="175"/>
      <c r="G493" s="175"/>
      <c r="H493" s="246"/>
      <c r="I493" s="249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  <c r="AA493" s="175"/>
      <c r="AB493" s="175"/>
      <c r="AC493" s="175"/>
      <c r="AD493" s="175"/>
      <c r="AE493" s="175"/>
    </row>
    <row r="494" ht="15.75" customHeight="1" spans="1:31">
      <c r="A494" s="175"/>
      <c r="B494" s="175"/>
      <c r="C494" s="239"/>
      <c r="D494" s="240"/>
      <c r="E494" s="175"/>
      <c r="F494" s="175"/>
      <c r="G494" s="175"/>
      <c r="H494" s="246"/>
      <c r="I494" s="249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  <c r="AA494" s="175"/>
      <c r="AB494" s="175"/>
      <c r="AC494" s="175"/>
      <c r="AD494" s="175"/>
      <c r="AE494" s="175"/>
    </row>
    <row r="495" ht="15.75" customHeight="1" spans="1:31">
      <c r="A495" s="175"/>
      <c r="B495" s="175"/>
      <c r="C495" s="239"/>
      <c r="D495" s="240"/>
      <c r="E495" s="175"/>
      <c r="F495" s="175"/>
      <c r="G495" s="175"/>
      <c r="H495" s="246"/>
      <c r="I495" s="249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  <c r="AA495" s="175"/>
      <c r="AB495" s="175"/>
      <c r="AC495" s="175"/>
      <c r="AD495" s="175"/>
      <c r="AE495" s="175"/>
    </row>
    <row r="496" ht="15.75" customHeight="1" spans="1:31">
      <c r="A496" s="175"/>
      <c r="B496" s="175"/>
      <c r="C496" s="239"/>
      <c r="D496" s="240"/>
      <c r="E496" s="175"/>
      <c r="F496" s="175"/>
      <c r="G496" s="175"/>
      <c r="H496" s="246"/>
      <c r="I496" s="249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  <c r="AA496" s="175"/>
      <c r="AB496" s="175"/>
      <c r="AC496" s="175"/>
      <c r="AD496" s="175"/>
      <c r="AE496" s="175"/>
    </row>
    <row r="497" ht="15.75" customHeight="1" spans="1:31">
      <c r="A497" s="175"/>
      <c r="B497" s="175"/>
      <c r="C497" s="239"/>
      <c r="D497" s="240"/>
      <c r="E497" s="175"/>
      <c r="F497" s="175"/>
      <c r="G497" s="175"/>
      <c r="H497" s="246"/>
      <c r="I497" s="249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  <c r="AA497" s="175"/>
      <c r="AB497" s="175"/>
      <c r="AC497" s="175"/>
      <c r="AD497" s="175"/>
      <c r="AE497" s="175"/>
    </row>
    <row r="498" ht="15.75" customHeight="1" spans="1:31">
      <c r="A498" s="175"/>
      <c r="B498" s="175"/>
      <c r="C498" s="239"/>
      <c r="D498" s="240"/>
      <c r="E498" s="175"/>
      <c r="F498" s="175"/>
      <c r="G498" s="175"/>
      <c r="H498" s="246"/>
      <c r="I498" s="249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  <c r="AA498" s="175"/>
      <c r="AB498" s="175"/>
      <c r="AC498" s="175"/>
      <c r="AD498" s="175"/>
      <c r="AE498" s="175"/>
    </row>
    <row r="499" ht="15.75" customHeight="1" spans="1:31">
      <c r="A499" s="175"/>
      <c r="B499" s="175"/>
      <c r="C499" s="239"/>
      <c r="D499" s="240"/>
      <c r="E499" s="175"/>
      <c r="F499" s="175"/>
      <c r="G499" s="175"/>
      <c r="H499" s="246"/>
      <c r="I499" s="249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</row>
    <row r="500" ht="15.75" customHeight="1" spans="1:31">
      <c r="A500" s="175"/>
      <c r="B500" s="175"/>
      <c r="C500" s="239"/>
      <c r="D500" s="240"/>
      <c r="E500" s="175"/>
      <c r="F500" s="175"/>
      <c r="G500" s="175"/>
      <c r="H500" s="246"/>
      <c r="I500" s="249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  <c r="AA500" s="175"/>
      <c r="AB500" s="175"/>
      <c r="AC500" s="175"/>
      <c r="AD500" s="175"/>
      <c r="AE500" s="175"/>
    </row>
    <row r="501" ht="15.75" customHeight="1" spans="1:31">
      <c r="A501" s="175"/>
      <c r="B501" s="175"/>
      <c r="C501" s="239"/>
      <c r="D501" s="240"/>
      <c r="E501" s="175"/>
      <c r="F501" s="175"/>
      <c r="G501" s="175"/>
      <c r="H501" s="246"/>
      <c r="I501" s="249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  <c r="AA501" s="175"/>
      <c r="AB501" s="175"/>
      <c r="AC501" s="175"/>
      <c r="AD501" s="175"/>
      <c r="AE501" s="175"/>
    </row>
    <row r="502" ht="15.75" customHeight="1" spans="1:31">
      <c r="A502" s="175"/>
      <c r="B502" s="175"/>
      <c r="C502" s="239"/>
      <c r="D502" s="240"/>
      <c r="E502" s="175"/>
      <c r="F502" s="175"/>
      <c r="G502" s="175"/>
      <c r="H502" s="246"/>
      <c r="I502" s="249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  <c r="AA502" s="175"/>
      <c r="AB502" s="175"/>
      <c r="AC502" s="175"/>
      <c r="AD502" s="175"/>
      <c r="AE502" s="175"/>
    </row>
    <row r="503" ht="15.75" customHeight="1" spans="1:31">
      <c r="A503" s="175"/>
      <c r="B503" s="175"/>
      <c r="C503" s="239"/>
      <c r="D503" s="240"/>
      <c r="E503" s="175"/>
      <c r="F503" s="175"/>
      <c r="G503" s="175"/>
      <c r="H503" s="246"/>
      <c r="I503" s="249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  <c r="AA503" s="175"/>
      <c r="AB503" s="175"/>
      <c r="AC503" s="175"/>
      <c r="AD503" s="175"/>
      <c r="AE503" s="175"/>
    </row>
    <row r="504" ht="15.75" customHeight="1" spans="1:31">
      <c r="A504" s="175"/>
      <c r="B504" s="175"/>
      <c r="C504" s="239"/>
      <c r="D504" s="240"/>
      <c r="E504" s="175"/>
      <c r="F504" s="175"/>
      <c r="G504" s="175"/>
      <c r="H504" s="246"/>
      <c r="I504" s="249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  <c r="AA504" s="175"/>
      <c r="AB504" s="175"/>
      <c r="AC504" s="175"/>
      <c r="AD504" s="175"/>
      <c r="AE504" s="175"/>
    </row>
    <row r="505" ht="15.75" customHeight="1" spans="1:31">
      <c r="A505" s="175"/>
      <c r="B505" s="175"/>
      <c r="C505" s="239"/>
      <c r="D505" s="240"/>
      <c r="E505" s="175"/>
      <c r="F505" s="175"/>
      <c r="G505" s="175"/>
      <c r="H505" s="246"/>
      <c r="I505" s="249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  <c r="AA505" s="175"/>
      <c r="AB505" s="175"/>
      <c r="AC505" s="175"/>
      <c r="AD505" s="175"/>
      <c r="AE505" s="175"/>
    </row>
    <row r="506" ht="15.75" customHeight="1" spans="1:31">
      <c r="A506" s="175"/>
      <c r="B506" s="175"/>
      <c r="C506" s="239"/>
      <c r="D506" s="240"/>
      <c r="E506" s="175"/>
      <c r="F506" s="175"/>
      <c r="G506" s="175"/>
      <c r="H506" s="246"/>
      <c r="I506" s="249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  <c r="AA506" s="175"/>
      <c r="AB506" s="175"/>
      <c r="AC506" s="175"/>
      <c r="AD506" s="175"/>
      <c r="AE506" s="175"/>
    </row>
    <row r="507" ht="15.75" customHeight="1" spans="1:31">
      <c r="A507" s="175"/>
      <c r="B507" s="175"/>
      <c r="C507" s="239"/>
      <c r="D507" s="240"/>
      <c r="E507" s="175"/>
      <c r="F507" s="175"/>
      <c r="G507" s="175"/>
      <c r="H507" s="246"/>
      <c r="I507" s="249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  <c r="AA507" s="175"/>
      <c r="AB507" s="175"/>
      <c r="AC507" s="175"/>
      <c r="AD507" s="175"/>
      <c r="AE507" s="175"/>
    </row>
    <row r="508" ht="15.75" customHeight="1" spans="1:31">
      <c r="A508" s="175"/>
      <c r="B508" s="175"/>
      <c r="C508" s="239"/>
      <c r="D508" s="240"/>
      <c r="E508" s="175"/>
      <c r="F508" s="175"/>
      <c r="G508" s="175"/>
      <c r="H508" s="246"/>
      <c r="I508" s="249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  <c r="AA508" s="175"/>
      <c r="AB508" s="175"/>
      <c r="AC508" s="175"/>
      <c r="AD508" s="175"/>
      <c r="AE508" s="175"/>
    </row>
    <row r="509" ht="15.75" customHeight="1" spans="1:31">
      <c r="A509" s="175"/>
      <c r="B509" s="175"/>
      <c r="C509" s="239"/>
      <c r="D509" s="240"/>
      <c r="E509" s="175"/>
      <c r="F509" s="175"/>
      <c r="G509" s="175"/>
      <c r="H509" s="246"/>
      <c r="I509" s="249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  <c r="AA509" s="175"/>
      <c r="AB509" s="175"/>
      <c r="AC509" s="175"/>
      <c r="AD509" s="175"/>
      <c r="AE509" s="175"/>
    </row>
    <row r="510" ht="15.75" customHeight="1" spans="1:31">
      <c r="A510" s="175"/>
      <c r="B510" s="175"/>
      <c r="C510" s="239"/>
      <c r="D510" s="240"/>
      <c r="E510" s="175"/>
      <c r="F510" s="175"/>
      <c r="G510" s="175"/>
      <c r="H510" s="246"/>
      <c r="I510" s="249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  <c r="AA510" s="175"/>
      <c r="AB510" s="175"/>
      <c r="AC510" s="175"/>
      <c r="AD510" s="175"/>
      <c r="AE510" s="175"/>
    </row>
    <row r="511" ht="15.75" customHeight="1" spans="1:31">
      <c r="A511" s="175"/>
      <c r="B511" s="175"/>
      <c r="C511" s="239"/>
      <c r="D511" s="240"/>
      <c r="E511" s="175"/>
      <c r="F511" s="175"/>
      <c r="G511" s="175"/>
      <c r="H511" s="246"/>
      <c r="I511" s="249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  <c r="AA511" s="175"/>
      <c r="AB511" s="175"/>
      <c r="AC511" s="175"/>
      <c r="AD511" s="175"/>
      <c r="AE511" s="175"/>
    </row>
    <row r="512" ht="15.75" customHeight="1" spans="1:31">
      <c r="A512" s="175"/>
      <c r="B512" s="175"/>
      <c r="C512" s="239"/>
      <c r="D512" s="240"/>
      <c r="E512" s="175"/>
      <c r="F512" s="175"/>
      <c r="G512" s="175"/>
      <c r="H512" s="246"/>
      <c r="I512" s="249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  <c r="AA512" s="175"/>
      <c r="AB512" s="175"/>
      <c r="AC512" s="175"/>
      <c r="AD512" s="175"/>
      <c r="AE512" s="175"/>
    </row>
    <row r="513" ht="15.75" customHeight="1" spans="1:31">
      <c r="A513" s="175"/>
      <c r="B513" s="175"/>
      <c r="C513" s="239"/>
      <c r="D513" s="240"/>
      <c r="E513" s="175"/>
      <c r="F513" s="175"/>
      <c r="G513" s="175"/>
      <c r="H513" s="246"/>
      <c r="I513" s="249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  <c r="AA513" s="175"/>
      <c r="AB513" s="175"/>
      <c r="AC513" s="175"/>
      <c r="AD513" s="175"/>
      <c r="AE513" s="175"/>
    </row>
    <row r="514" ht="15.75" customHeight="1" spans="1:31">
      <c r="A514" s="175"/>
      <c r="B514" s="175"/>
      <c r="C514" s="239"/>
      <c r="D514" s="240"/>
      <c r="E514" s="175"/>
      <c r="F514" s="175"/>
      <c r="G514" s="175"/>
      <c r="H514" s="246"/>
      <c r="I514" s="249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  <c r="AA514" s="175"/>
      <c r="AB514" s="175"/>
      <c r="AC514" s="175"/>
      <c r="AD514" s="175"/>
      <c r="AE514" s="175"/>
    </row>
    <row r="515" ht="15.75" customHeight="1" spans="1:31">
      <c r="A515" s="175"/>
      <c r="B515" s="175"/>
      <c r="C515" s="239"/>
      <c r="D515" s="240"/>
      <c r="E515" s="175"/>
      <c r="F515" s="175"/>
      <c r="G515" s="175"/>
      <c r="H515" s="246"/>
      <c r="I515" s="249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  <c r="AA515" s="175"/>
      <c r="AB515" s="175"/>
      <c r="AC515" s="175"/>
      <c r="AD515" s="175"/>
      <c r="AE515" s="175"/>
    </row>
    <row r="516" ht="15.75" customHeight="1" spans="1:31">
      <c r="A516" s="175"/>
      <c r="B516" s="175"/>
      <c r="C516" s="239"/>
      <c r="D516" s="240"/>
      <c r="E516" s="175"/>
      <c r="F516" s="175"/>
      <c r="G516" s="175"/>
      <c r="H516" s="246"/>
      <c r="I516" s="249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  <c r="AA516" s="175"/>
      <c r="AB516" s="175"/>
      <c r="AC516" s="175"/>
      <c r="AD516" s="175"/>
      <c r="AE516" s="175"/>
    </row>
    <row r="517" ht="15.75" customHeight="1" spans="1:31">
      <c r="A517" s="175"/>
      <c r="B517" s="175"/>
      <c r="C517" s="239"/>
      <c r="D517" s="240"/>
      <c r="E517" s="175"/>
      <c r="F517" s="175"/>
      <c r="G517" s="175"/>
      <c r="H517" s="246"/>
      <c r="I517" s="249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  <c r="AA517" s="175"/>
      <c r="AB517" s="175"/>
      <c r="AC517" s="175"/>
      <c r="AD517" s="175"/>
      <c r="AE517" s="175"/>
    </row>
    <row r="518" ht="15.75" customHeight="1" spans="1:31">
      <c r="A518" s="175"/>
      <c r="B518" s="175"/>
      <c r="C518" s="239"/>
      <c r="D518" s="240"/>
      <c r="E518" s="175"/>
      <c r="F518" s="175"/>
      <c r="G518" s="175"/>
      <c r="H518" s="246"/>
      <c r="I518" s="249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  <c r="AA518" s="175"/>
      <c r="AB518" s="175"/>
      <c r="AC518" s="175"/>
      <c r="AD518" s="175"/>
      <c r="AE518" s="175"/>
    </row>
    <row r="519" ht="15.75" customHeight="1" spans="1:31">
      <c r="A519" s="175"/>
      <c r="B519" s="175"/>
      <c r="C519" s="239"/>
      <c r="D519" s="240"/>
      <c r="E519" s="175"/>
      <c r="F519" s="175"/>
      <c r="G519" s="175"/>
      <c r="H519" s="246"/>
      <c r="I519" s="249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  <c r="AA519" s="175"/>
      <c r="AB519" s="175"/>
      <c r="AC519" s="175"/>
      <c r="AD519" s="175"/>
      <c r="AE519" s="175"/>
    </row>
    <row r="520" ht="15.75" customHeight="1" spans="1:31">
      <c r="A520" s="175"/>
      <c r="B520" s="175"/>
      <c r="C520" s="239"/>
      <c r="D520" s="240"/>
      <c r="E520" s="175"/>
      <c r="F520" s="175"/>
      <c r="G520" s="175"/>
      <c r="H520" s="246"/>
      <c r="I520" s="249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  <c r="AA520" s="175"/>
      <c r="AB520" s="175"/>
      <c r="AC520" s="175"/>
      <c r="AD520" s="175"/>
      <c r="AE520" s="175"/>
    </row>
    <row r="521" ht="15.75" customHeight="1" spans="1:31">
      <c r="A521" s="175"/>
      <c r="B521" s="175"/>
      <c r="C521" s="239"/>
      <c r="D521" s="240"/>
      <c r="E521" s="175"/>
      <c r="F521" s="175"/>
      <c r="G521" s="175"/>
      <c r="H521" s="246"/>
      <c r="I521" s="249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  <c r="AA521" s="175"/>
      <c r="AB521" s="175"/>
      <c r="AC521" s="175"/>
      <c r="AD521" s="175"/>
      <c r="AE521" s="175"/>
    </row>
    <row r="522" ht="15.75" customHeight="1" spans="1:31">
      <c r="A522" s="175"/>
      <c r="B522" s="175"/>
      <c r="C522" s="239"/>
      <c r="D522" s="240"/>
      <c r="E522" s="175"/>
      <c r="F522" s="175"/>
      <c r="G522" s="175"/>
      <c r="H522" s="246"/>
      <c r="I522" s="249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  <c r="AA522" s="175"/>
      <c r="AB522" s="175"/>
      <c r="AC522" s="175"/>
      <c r="AD522" s="175"/>
      <c r="AE522" s="175"/>
    </row>
    <row r="523" ht="15.75" customHeight="1" spans="1:31">
      <c r="A523" s="175"/>
      <c r="B523" s="175"/>
      <c r="C523" s="239"/>
      <c r="D523" s="240"/>
      <c r="E523" s="175"/>
      <c r="F523" s="175"/>
      <c r="G523" s="175"/>
      <c r="H523" s="246"/>
      <c r="I523" s="249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  <c r="AA523" s="175"/>
      <c r="AB523" s="175"/>
      <c r="AC523" s="175"/>
      <c r="AD523" s="175"/>
      <c r="AE523" s="175"/>
    </row>
    <row r="524" ht="15.75" customHeight="1" spans="1:31">
      <c r="A524" s="175"/>
      <c r="B524" s="175"/>
      <c r="C524" s="239"/>
      <c r="D524" s="240"/>
      <c r="E524" s="175"/>
      <c r="F524" s="175"/>
      <c r="G524" s="175"/>
      <c r="H524" s="246"/>
      <c r="I524" s="249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  <c r="AA524" s="175"/>
      <c r="AB524" s="175"/>
      <c r="AC524" s="175"/>
      <c r="AD524" s="175"/>
      <c r="AE524" s="175"/>
    </row>
    <row r="525" ht="15.75" customHeight="1" spans="1:31">
      <c r="A525" s="175"/>
      <c r="B525" s="175"/>
      <c r="C525" s="239"/>
      <c r="D525" s="240"/>
      <c r="E525" s="175"/>
      <c r="F525" s="175"/>
      <c r="G525" s="175"/>
      <c r="H525" s="246"/>
      <c r="I525" s="249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  <c r="AA525" s="175"/>
      <c r="AB525" s="175"/>
      <c r="AC525" s="175"/>
      <c r="AD525" s="175"/>
      <c r="AE525" s="175"/>
    </row>
    <row r="526" ht="15.75" customHeight="1" spans="1:31">
      <c r="A526" s="175"/>
      <c r="B526" s="175"/>
      <c r="C526" s="239"/>
      <c r="D526" s="240"/>
      <c r="E526" s="175"/>
      <c r="F526" s="175"/>
      <c r="G526" s="175"/>
      <c r="H526" s="246"/>
      <c r="I526" s="249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  <c r="AA526" s="175"/>
      <c r="AB526" s="175"/>
      <c r="AC526" s="175"/>
      <c r="AD526" s="175"/>
      <c r="AE526" s="175"/>
    </row>
    <row r="527" ht="15.75" customHeight="1" spans="1:31">
      <c r="A527" s="175"/>
      <c r="B527" s="175"/>
      <c r="C527" s="239"/>
      <c r="D527" s="240"/>
      <c r="E527" s="175"/>
      <c r="F527" s="175"/>
      <c r="G527" s="175"/>
      <c r="H527" s="246"/>
      <c r="I527" s="249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  <c r="AA527" s="175"/>
      <c r="AB527" s="175"/>
      <c r="AC527" s="175"/>
      <c r="AD527" s="175"/>
      <c r="AE527" s="175"/>
    </row>
    <row r="528" ht="15.75" customHeight="1" spans="1:31">
      <c r="A528" s="175"/>
      <c r="B528" s="175"/>
      <c r="C528" s="239"/>
      <c r="D528" s="240"/>
      <c r="E528" s="175"/>
      <c r="F528" s="175"/>
      <c r="G528" s="175"/>
      <c r="H528" s="246"/>
      <c r="I528" s="249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  <c r="AA528" s="175"/>
      <c r="AB528" s="175"/>
      <c r="AC528" s="175"/>
      <c r="AD528" s="175"/>
      <c r="AE528" s="175"/>
    </row>
    <row r="529" ht="15.75" customHeight="1" spans="1:31">
      <c r="A529" s="175"/>
      <c r="B529" s="175"/>
      <c r="C529" s="239"/>
      <c r="D529" s="240"/>
      <c r="E529" s="175"/>
      <c r="F529" s="175"/>
      <c r="G529" s="175"/>
      <c r="H529" s="246"/>
      <c r="I529" s="249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  <c r="AA529" s="175"/>
      <c r="AB529" s="175"/>
      <c r="AC529" s="175"/>
      <c r="AD529" s="175"/>
      <c r="AE529" s="175"/>
    </row>
    <row r="530" ht="15.75" customHeight="1" spans="1:31">
      <c r="A530" s="175"/>
      <c r="B530" s="175"/>
      <c r="C530" s="239"/>
      <c r="D530" s="240"/>
      <c r="E530" s="175"/>
      <c r="F530" s="175"/>
      <c r="G530" s="175"/>
      <c r="H530" s="246"/>
      <c r="I530" s="249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  <c r="AA530" s="175"/>
      <c r="AB530" s="175"/>
      <c r="AC530" s="175"/>
      <c r="AD530" s="175"/>
      <c r="AE530" s="175"/>
    </row>
    <row r="531" ht="15.75" customHeight="1" spans="1:31">
      <c r="A531" s="175"/>
      <c r="B531" s="175"/>
      <c r="C531" s="239"/>
      <c r="D531" s="240"/>
      <c r="E531" s="175"/>
      <c r="F531" s="175"/>
      <c r="G531" s="175"/>
      <c r="H531" s="246"/>
      <c r="I531" s="249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  <c r="AA531" s="175"/>
      <c r="AB531" s="175"/>
      <c r="AC531" s="175"/>
      <c r="AD531" s="175"/>
      <c r="AE531" s="175"/>
    </row>
    <row r="532" ht="15.75" customHeight="1" spans="1:31">
      <c r="A532" s="175"/>
      <c r="B532" s="175"/>
      <c r="C532" s="239"/>
      <c r="D532" s="240"/>
      <c r="E532" s="175"/>
      <c r="F532" s="175"/>
      <c r="G532" s="175"/>
      <c r="H532" s="246"/>
      <c r="I532" s="249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  <c r="AA532" s="175"/>
      <c r="AB532" s="175"/>
      <c r="AC532" s="175"/>
      <c r="AD532" s="175"/>
      <c r="AE532" s="175"/>
    </row>
    <row r="533" ht="15.75" customHeight="1" spans="1:31">
      <c r="A533" s="175"/>
      <c r="B533" s="175"/>
      <c r="C533" s="239"/>
      <c r="D533" s="240"/>
      <c r="E533" s="175"/>
      <c r="F533" s="175"/>
      <c r="G533" s="175"/>
      <c r="H533" s="246"/>
      <c r="I533" s="249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  <c r="AA533" s="175"/>
      <c r="AB533" s="175"/>
      <c r="AC533" s="175"/>
      <c r="AD533" s="175"/>
      <c r="AE533" s="175"/>
    </row>
    <row r="534" ht="15.75" customHeight="1" spans="1:31">
      <c r="A534" s="175"/>
      <c r="B534" s="175"/>
      <c r="C534" s="239"/>
      <c r="D534" s="240"/>
      <c r="E534" s="175"/>
      <c r="F534" s="175"/>
      <c r="G534" s="175"/>
      <c r="H534" s="246"/>
      <c r="I534" s="249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</row>
    <row r="535" ht="15.75" customHeight="1" spans="1:31">
      <c r="A535" s="175"/>
      <c r="B535" s="175"/>
      <c r="C535" s="239"/>
      <c r="D535" s="240"/>
      <c r="E535" s="175"/>
      <c r="F535" s="175"/>
      <c r="G535" s="175"/>
      <c r="H535" s="246"/>
      <c r="I535" s="249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</row>
    <row r="536" ht="15.75" customHeight="1" spans="1:31">
      <c r="A536" s="175"/>
      <c r="B536" s="175"/>
      <c r="C536" s="239"/>
      <c r="D536" s="240"/>
      <c r="E536" s="175"/>
      <c r="F536" s="175"/>
      <c r="G536" s="175"/>
      <c r="H536" s="246"/>
      <c r="I536" s="249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  <c r="AA536" s="175"/>
      <c r="AB536" s="175"/>
      <c r="AC536" s="175"/>
      <c r="AD536" s="175"/>
      <c r="AE536" s="175"/>
    </row>
    <row r="537" ht="15.75" customHeight="1" spans="1:31">
      <c r="A537" s="175"/>
      <c r="B537" s="175"/>
      <c r="C537" s="239"/>
      <c r="D537" s="240"/>
      <c r="E537" s="175"/>
      <c r="F537" s="175"/>
      <c r="G537" s="175"/>
      <c r="H537" s="246"/>
      <c r="I537" s="249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  <c r="AA537" s="175"/>
      <c r="AB537" s="175"/>
      <c r="AC537" s="175"/>
      <c r="AD537" s="175"/>
      <c r="AE537" s="175"/>
    </row>
    <row r="538" ht="15.75" customHeight="1" spans="1:31">
      <c r="A538" s="175"/>
      <c r="B538" s="175"/>
      <c r="C538" s="239"/>
      <c r="D538" s="240"/>
      <c r="E538" s="175"/>
      <c r="F538" s="175"/>
      <c r="G538" s="175"/>
      <c r="H538" s="246"/>
      <c r="I538" s="249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  <c r="AA538" s="175"/>
      <c r="AB538" s="175"/>
      <c r="AC538" s="175"/>
      <c r="AD538" s="175"/>
      <c r="AE538" s="175"/>
    </row>
    <row r="539" ht="15.75" customHeight="1" spans="1:31">
      <c r="A539" s="175"/>
      <c r="B539" s="175"/>
      <c r="C539" s="239"/>
      <c r="D539" s="240"/>
      <c r="E539" s="175"/>
      <c r="F539" s="175"/>
      <c r="G539" s="175"/>
      <c r="H539" s="246"/>
      <c r="I539" s="249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  <c r="AA539" s="175"/>
      <c r="AB539" s="175"/>
      <c r="AC539" s="175"/>
      <c r="AD539" s="175"/>
      <c r="AE539" s="175"/>
    </row>
    <row r="540" ht="15.75" customHeight="1" spans="1:31">
      <c r="A540" s="175"/>
      <c r="B540" s="175"/>
      <c r="C540" s="239"/>
      <c r="D540" s="240"/>
      <c r="E540" s="175"/>
      <c r="F540" s="175"/>
      <c r="G540" s="175"/>
      <c r="H540" s="246"/>
      <c r="I540" s="249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  <c r="AA540" s="175"/>
      <c r="AB540" s="175"/>
      <c r="AC540" s="175"/>
      <c r="AD540" s="175"/>
      <c r="AE540" s="175"/>
    </row>
    <row r="541" ht="15.75" customHeight="1" spans="1:31">
      <c r="A541" s="175"/>
      <c r="B541" s="175"/>
      <c r="C541" s="239"/>
      <c r="D541" s="240"/>
      <c r="E541" s="175"/>
      <c r="F541" s="175"/>
      <c r="G541" s="175"/>
      <c r="H541" s="246"/>
      <c r="I541" s="249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  <c r="AA541" s="175"/>
      <c r="AB541" s="175"/>
      <c r="AC541" s="175"/>
      <c r="AD541" s="175"/>
      <c r="AE541" s="175"/>
    </row>
    <row r="542" ht="15.75" customHeight="1" spans="1:31">
      <c r="A542" s="175"/>
      <c r="B542" s="175"/>
      <c r="C542" s="239"/>
      <c r="D542" s="240"/>
      <c r="E542" s="175"/>
      <c r="F542" s="175"/>
      <c r="G542" s="175"/>
      <c r="H542" s="246"/>
      <c r="I542" s="249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  <c r="AA542" s="175"/>
      <c r="AB542" s="175"/>
      <c r="AC542" s="175"/>
      <c r="AD542" s="175"/>
      <c r="AE542" s="175"/>
    </row>
    <row r="543" ht="15.75" customHeight="1" spans="1:31">
      <c r="A543" s="175"/>
      <c r="B543" s="175"/>
      <c r="C543" s="239"/>
      <c r="D543" s="240"/>
      <c r="E543" s="175"/>
      <c r="F543" s="175"/>
      <c r="G543" s="175"/>
      <c r="H543" s="246"/>
      <c r="I543" s="249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  <c r="AA543" s="175"/>
      <c r="AB543" s="175"/>
      <c r="AC543" s="175"/>
      <c r="AD543" s="175"/>
      <c r="AE543" s="175"/>
    </row>
    <row r="544" ht="15.75" customHeight="1" spans="1:31">
      <c r="A544" s="175"/>
      <c r="B544" s="175"/>
      <c r="C544" s="239"/>
      <c r="D544" s="240"/>
      <c r="E544" s="175"/>
      <c r="F544" s="175"/>
      <c r="G544" s="175"/>
      <c r="H544" s="246"/>
      <c r="I544" s="249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  <c r="AA544" s="175"/>
      <c r="AB544" s="175"/>
      <c r="AC544" s="175"/>
      <c r="AD544" s="175"/>
      <c r="AE544" s="175"/>
    </row>
    <row r="545" ht="15.75" customHeight="1" spans="1:31">
      <c r="A545" s="175"/>
      <c r="B545" s="175"/>
      <c r="C545" s="239"/>
      <c r="D545" s="240"/>
      <c r="E545" s="175"/>
      <c r="F545" s="175"/>
      <c r="G545" s="175"/>
      <c r="H545" s="246"/>
      <c r="I545" s="249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  <c r="AA545" s="175"/>
      <c r="AB545" s="175"/>
      <c r="AC545" s="175"/>
      <c r="AD545" s="175"/>
      <c r="AE545" s="175"/>
    </row>
    <row r="546" ht="15.75" customHeight="1" spans="1:31">
      <c r="A546" s="175"/>
      <c r="B546" s="175"/>
      <c r="C546" s="239"/>
      <c r="D546" s="240"/>
      <c r="E546" s="175"/>
      <c r="F546" s="175"/>
      <c r="G546" s="175"/>
      <c r="H546" s="246"/>
      <c r="I546" s="249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  <c r="AA546" s="175"/>
      <c r="AB546" s="175"/>
      <c r="AC546" s="175"/>
      <c r="AD546" s="175"/>
      <c r="AE546" s="175"/>
    </row>
    <row r="547" ht="15.75" customHeight="1" spans="1:31">
      <c r="A547" s="175"/>
      <c r="B547" s="175"/>
      <c r="C547" s="239"/>
      <c r="D547" s="240"/>
      <c r="E547" s="175"/>
      <c r="F547" s="175"/>
      <c r="G547" s="175"/>
      <c r="H547" s="246"/>
      <c r="I547" s="249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  <c r="AA547" s="175"/>
      <c r="AB547" s="175"/>
      <c r="AC547" s="175"/>
      <c r="AD547" s="175"/>
      <c r="AE547" s="175"/>
    </row>
    <row r="548" ht="15.75" customHeight="1" spans="1:31">
      <c r="A548" s="175"/>
      <c r="B548" s="175"/>
      <c r="C548" s="239"/>
      <c r="D548" s="240"/>
      <c r="E548" s="175"/>
      <c r="F548" s="175"/>
      <c r="G548" s="175"/>
      <c r="H548" s="246"/>
      <c r="I548" s="249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  <c r="AA548" s="175"/>
      <c r="AB548" s="175"/>
      <c r="AC548" s="175"/>
      <c r="AD548" s="175"/>
      <c r="AE548" s="175"/>
    </row>
    <row r="549" ht="15.75" customHeight="1" spans="1:31">
      <c r="A549" s="175"/>
      <c r="B549" s="175"/>
      <c r="C549" s="239"/>
      <c r="D549" s="240"/>
      <c r="E549" s="175"/>
      <c r="F549" s="175"/>
      <c r="G549" s="175"/>
      <c r="H549" s="246"/>
      <c r="I549" s="249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  <c r="AA549" s="175"/>
      <c r="AB549" s="175"/>
      <c r="AC549" s="175"/>
      <c r="AD549" s="175"/>
      <c r="AE549" s="175"/>
    </row>
    <row r="550" ht="15.75" customHeight="1" spans="1:31">
      <c r="A550" s="175"/>
      <c r="B550" s="175"/>
      <c r="C550" s="239"/>
      <c r="D550" s="240"/>
      <c r="E550" s="175"/>
      <c r="F550" s="175"/>
      <c r="G550" s="175"/>
      <c r="H550" s="246"/>
      <c r="I550" s="249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  <c r="AA550" s="175"/>
      <c r="AB550" s="175"/>
      <c r="AC550" s="175"/>
      <c r="AD550" s="175"/>
      <c r="AE550" s="175"/>
    </row>
    <row r="551" ht="15.75" customHeight="1" spans="1:31">
      <c r="A551" s="175"/>
      <c r="B551" s="175"/>
      <c r="C551" s="239"/>
      <c r="D551" s="240"/>
      <c r="E551" s="175"/>
      <c r="F551" s="175"/>
      <c r="G551" s="175"/>
      <c r="H551" s="246"/>
      <c r="I551" s="249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  <c r="AA551" s="175"/>
      <c r="AB551" s="175"/>
      <c r="AC551" s="175"/>
      <c r="AD551" s="175"/>
      <c r="AE551" s="175"/>
    </row>
    <row r="552" ht="15.75" customHeight="1" spans="1:31">
      <c r="A552" s="175"/>
      <c r="B552" s="175"/>
      <c r="C552" s="239"/>
      <c r="D552" s="240"/>
      <c r="E552" s="175"/>
      <c r="F552" s="175"/>
      <c r="G552" s="175"/>
      <c r="H552" s="246"/>
      <c r="I552" s="249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  <c r="AA552" s="175"/>
      <c r="AB552" s="175"/>
      <c r="AC552" s="175"/>
      <c r="AD552" s="175"/>
      <c r="AE552" s="175"/>
    </row>
    <row r="553" ht="15.75" customHeight="1" spans="1:31">
      <c r="A553" s="175"/>
      <c r="B553" s="175"/>
      <c r="C553" s="239"/>
      <c r="D553" s="240"/>
      <c r="E553" s="175"/>
      <c r="F553" s="175"/>
      <c r="G553" s="175"/>
      <c r="H553" s="246"/>
      <c r="I553" s="249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  <c r="AA553" s="175"/>
      <c r="AB553" s="175"/>
      <c r="AC553" s="175"/>
      <c r="AD553" s="175"/>
      <c r="AE553" s="175"/>
    </row>
    <row r="554" ht="15.75" customHeight="1" spans="1:31">
      <c r="A554" s="175"/>
      <c r="B554" s="175"/>
      <c r="C554" s="239"/>
      <c r="D554" s="240"/>
      <c r="E554" s="175"/>
      <c r="F554" s="175"/>
      <c r="G554" s="175"/>
      <c r="H554" s="246"/>
      <c r="I554" s="249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  <c r="AA554" s="175"/>
      <c r="AB554" s="175"/>
      <c r="AC554" s="175"/>
      <c r="AD554" s="175"/>
      <c r="AE554" s="175"/>
    </row>
    <row r="555" ht="15.75" customHeight="1" spans="1:31">
      <c r="A555" s="175"/>
      <c r="B555" s="175"/>
      <c r="C555" s="239"/>
      <c r="D555" s="240"/>
      <c r="E555" s="175"/>
      <c r="F555" s="175"/>
      <c r="G555" s="175"/>
      <c r="H555" s="246"/>
      <c r="I555" s="249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  <c r="AA555" s="175"/>
      <c r="AB555" s="175"/>
      <c r="AC555" s="175"/>
      <c r="AD555" s="175"/>
      <c r="AE555" s="175"/>
    </row>
    <row r="556" ht="15.75" customHeight="1" spans="1:31">
      <c r="A556" s="175"/>
      <c r="B556" s="175"/>
      <c r="C556" s="239"/>
      <c r="D556" s="240"/>
      <c r="E556" s="175"/>
      <c r="F556" s="175"/>
      <c r="G556" s="175"/>
      <c r="H556" s="246"/>
      <c r="I556" s="249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  <c r="AA556" s="175"/>
      <c r="AB556" s="175"/>
      <c r="AC556" s="175"/>
      <c r="AD556" s="175"/>
      <c r="AE556" s="175"/>
    </row>
    <row r="557" ht="15.75" customHeight="1" spans="1:31">
      <c r="A557" s="175"/>
      <c r="B557" s="175"/>
      <c r="C557" s="239"/>
      <c r="D557" s="240"/>
      <c r="E557" s="175"/>
      <c r="F557" s="175"/>
      <c r="G557" s="175"/>
      <c r="H557" s="246"/>
      <c r="I557" s="249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  <c r="AA557" s="175"/>
      <c r="AB557" s="175"/>
      <c r="AC557" s="175"/>
      <c r="AD557" s="175"/>
      <c r="AE557" s="175"/>
    </row>
    <row r="558" ht="15.75" customHeight="1" spans="1:31">
      <c r="A558" s="175"/>
      <c r="B558" s="175"/>
      <c r="C558" s="239"/>
      <c r="D558" s="240"/>
      <c r="E558" s="175"/>
      <c r="F558" s="175"/>
      <c r="G558" s="175"/>
      <c r="H558" s="246"/>
      <c r="I558" s="249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  <c r="AA558" s="175"/>
      <c r="AB558" s="175"/>
      <c r="AC558" s="175"/>
      <c r="AD558" s="175"/>
      <c r="AE558" s="175"/>
    </row>
    <row r="559" ht="15.75" customHeight="1" spans="1:31">
      <c r="A559" s="175"/>
      <c r="B559" s="175"/>
      <c r="C559" s="239"/>
      <c r="D559" s="240"/>
      <c r="E559" s="175"/>
      <c r="F559" s="175"/>
      <c r="G559" s="175"/>
      <c r="H559" s="246"/>
      <c r="I559" s="249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  <c r="AA559" s="175"/>
      <c r="AB559" s="175"/>
      <c r="AC559" s="175"/>
      <c r="AD559" s="175"/>
      <c r="AE559" s="175"/>
    </row>
    <row r="560" ht="15.75" customHeight="1" spans="1:31">
      <c r="A560" s="175"/>
      <c r="B560" s="175"/>
      <c r="C560" s="239"/>
      <c r="D560" s="240"/>
      <c r="E560" s="175"/>
      <c r="F560" s="175"/>
      <c r="G560" s="175"/>
      <c r="H560" s="246"/>
      <c r="I560" s="249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  <c r="AA560" s="175"/>
      <c r="AB560" s="175"/>
      <c r="AC560" s="175"/>
      <c r="AD560" s="175"/>
      <c r="AE560" s="175"/>
    </row>
    <row r="561" ht="15.75" customHeight="1" spans="1:31">
      <c r="A561" s="175"/>
      <c r="B561" s="175"/>
      <c r="C561" s="239"/>
      <c r="D561" s="240"/>
      <c r="E561" s="175"/>
      <c r="F561" s="175"/>
      <c r="G561" s="175"/>
      <c r="H561" s="246"/>
      <c r="I561" s="249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  <c r="AA561" s="175"/>
      <c r="AB561" s="175"/>
      <c r="AC561" s="175"/>
      <c r="AD561" s="175"/>
      <c r="AE561" s="175"/>
    </row>
    <row r="562" ht="15.75" customHeight="1" spans="1:31">
      <c r="A562" s="175"/>
      <c r="B562" s="175"/>
      <c r="C562" s="239"/>
      <c r="D562" s="240"/>
      <c r="E562" s="175"/>
      <c r="F562" s="175"/>
      <c r="G562" s="175"/>
      <c r="H562" s="246"/>
      <c r="I562" s="249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  <c r="AA562" s="175"/>
      <c r="AB562" s="175"/>
      <c r="AC562" s="175"/>
      <c r="AD562" s="175"/>
      <c r="AE562" s="175"/>
    </row>
    <row r="563" ht="15.75" customHeight="1" spans="1:31">
      <c r="A563" s="175"/>
      <c r="B563" s="175"/>
      <c r="C563" s="239"/>
      <c r="D563" s="240"/>
      <c r="E563" s="175"/>
      <c r="F563" s="175"/>
      <c r="G563" s="175"/>
      <c r="H563" s="246"/>
      <c r="I563" s="249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  <c r="AA563" s="175"/>
      <c r="AB563" s="175"/>
      <c r="AC563" s="175"/>
      <c r="AD563" s="175"/>
      <c r="AE563" s="175"/>
    </row>
    <row r="564" ht="15.75" customHeight="1" spans="1:31">
      <c r="A564" s="175"/>
      <c r="B564" s="175"/>
      <c r="C564" s="239"/>
      <c r="D564" s="240"/>
      <c r="E564" s="175"/>
      <c r="F564" s="175"/>
      <c r="G564" s="175"/>
      <c r="H564" s="246"/>
      <c r="I564" s="249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  <c r="AA564" s="175"/>
      <c r="AB564" s="175"/>
      <c r="AC564" s="175"/>
      <c r="AD564" s="175"/>
      <c r="AE564" s="175"/>
    </row>
    <row r="565" ht="15.75" customHeight="1" spans="1:31">
      <c r="A565" s="175"/>
      <c r="B565" s="175"/>
      <c r="C565" s="239"/>
      <c r="D565" s="240"/>
      <c r="E565" s="175"/>
      <c r="F565" s="175"/>
      <c r="G565" s="175"/>
      <c r="H565" s="246"/>
      <c r="I565" s="249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  <c r="AA565" s="175"/>
      <c r="AB565" s="175"/>
      <c r="AC565" s="175"/>
      <c r="AD565" s="175"/>
      <c r="AE565" s="175"/>
    </row>
    <row r="566" ht="15.75" customHeight="1" spans="1:31">
      <c r="A566" s="175"/>
      <c r="B566" s="175"/>
      <c r="C566" s="239"/>
      <c r="D566" s="240"/>
      <c r="E566" s="175"/>
      <c r="F566" s="175"/>
      <c r="G566" s="175"/>
      <c r="H566" s="246"/>
      <c r="I566" s="249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  <c r="AA566" s="175"/>
      <c r="AB566" s="175"/>
      <c r="AC566" s="175"/>
      <c r="AD566" s="175"/>
      <c r="AE566" s="175"/>
    </row>
    <row r="567" ht="15.75" customHeight="1" spans="1:31">
      <c r="A567" s="175"/>
      <c r="B567" s="175"/>
      <c r="C567" s="239"/>
      <c r="D567" s="240"/>
      <c r="E567" s="175"/>
      <c r="F567" s="175"/>
      <c r="G567" s="175"/>
      <c r="H567" s="246"/>
      <c r="I567" s="249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  <c r="AA567" s="175"/>
      <c r="AB567" s="175"/>
      <c r="AC567" s="175"/>
      <c r="AD567" s="175"/>
      <c r="AE567" s="175"/>
    </row>
    <row r="568" ht="15.75" customHeight="1" spans="1:31">
      <c r="A568" s="175"/>
      <c r="B568" s="175"/>
      <c r="C568" s="239"/>
      <c r="D568" s="240"/>
      <c r="E568" s="175"/>
      <c r="F568" s="175"/>
      <c r="G568" s="175"/>
      <c r="H568" s="246"/>
      <c r="I568" s="249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  <c r="AA568" s="175"/>
      <c r="AB568" s="175"/>
      <c r="AC568" s="175"/>
      <c r="AD568" s="175"/>
      <c r="AE568" s="175"/>
    </row>
    <row r="569" ht="15.75" customHeight="1" spans="1:31">
      <c r="A569" s="175"/>
      <c r="B569" s="175"/>
      <c r="C569" s="239"/>
      <c r="D569" s="240"/>
      <c r="E569" s="175"/>
      <c r="F569" s="175"/>
      <c r="G569" s="175"/>
      <c r="H569" s="246"/>
      <c r="I569" s="249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  <c r="AA569" s="175"/>
      <c r="AB569" s="175"/>
      <c r="AC569" s="175"/>
      <c r="AD569" s="175"/>
      <c r="AE569" s="175"/>
    </row>
    <row r="570" ht="15.75" customHeight="1" spans="1:31">
      <c r="A570" s="175"/>
      <c r="B570" s="175"/>
      <c r="C570" s="239"/>
      <c r="D570" s="240"/>
      <c r="E570" s="175"/>
      <c r="F570" s="175"/>
      <c r="G570" s="175"/>
      <c r="H570" s="246"/>
      <c r="I570" s="249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  <c r="AA570" s="175"/>
      <c r="AB570" s="175"/>
      <c r="AC570" s="175"/>
      <c r="AD570" s="175"/>
      <c r="AE570" s="175"/>
    </row>
    <row r="571" ht="15.75" customHeight="1" spans="1:31">
      <c r="A571" s="175"/>
      <c r="B571" s="175"/>
      <c r="C571" s="239"/>
      <c r="D571" s="240"/>
      <c r="E571" s="175"/>
      <c r="F571" s="175"/>
      <c r="G571" s="175"/>
      <c r="H571" s="246"/>
      <c r="I571" s="249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  <c r="AA571" s="175"/>
      <c r="AB571" s="175"/>
      <c r="AC571" s="175"/>
      <c r="AD571" s="175"/>
      <c r="AE571" s="175"/>
    </row>
    <row r="572" ht="15.75" customHeight="1" spans="1:31">
      <c r="A572" s="175"/>
      <c r="B572" s="175"/>
      <c r="C572" s="239"/>
      <c r="D572" s="240"/>
      <c r="E572" s="175"/>
      <c r="F572" s="175"/>
      <c r="G572" s="175"/>
      <c r="H572" s="246"/>
      <c r="I572" s="249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  <c r="AA572" s="175"/>
      <c r="AB572" s="175"/>
      <c r="AC572" s="175"/>
      <c r="AD572" s="175"/>
      <c r="AE572" s="175"/>
    </row>
    <row r="573" ht="15.75" customHeight="1" spans="1:31">
      <c r="A573" s="175"/>
      <c r="B573" s="175"/>
      <c r="C573" s="239"/>
      <c r="D573" s="240"/>
      <c r="E573" s="175"/>
      <c r="F573" s="175"/>
      <c r="G573" s="175"/>
      <c r="H573" s="246"/>
      <c r="I573" s="249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  <c r="AA573" s="175"/>
      <c r="AB573" s="175"/>
      <c r="AC573" s="175"/>
      <c r="AD573" s="175"/>
      <c r="AE573" s="175"/>
    </row>
    <row r="574" ht="15.75" customHeight="1" spans="1:31">
      <c r="A574" s="175"/>
      <c r="B574" s="175"/>
      <c r="C574" s="239"/>
      <c r="D574" s="240"/>
      <c r="E574" s="175"/>
      <c r="F574" s="175"/>
      <c r="G574" s="175"/>
      <c r="H574" s="246"/>
      <c r="I574" s="249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  <c r="AA574" s="175"/>
      <c r="AB574" s="175"/>
      <c r="AC574" s="175"/>
      <c r="AD574" s="175"/>
      <c r="AE574" s="175"/>
    </row>
    <row r="575" ht="15.75" customHeight="1" spans="1:31">
      <c r="A575" s="175"/>
      <c r="B575" s="175"/>
      <c r="C575" s="239"/>
      <c r="D575" s="240"/>
      <c r="E575" s="175"/>
      <c r="F575" s="175"/>
      <c r="G575" s="175"/>
      <c r="H575" s="246"/>
      <c r="I575" s="249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  <c r="AA575" s="175"/>
      <c r="AB575" s="175"/>
      <c r="AC575" s="175"/>
      <c r="AD575" s="175"/>
      <c r="AE575" s="175"/>
    </row>
    <row r="576" ht="15.75" customHeight="1" spans="1:31">
      <c r="A576" s="175"/>
      <c r="B576" s="175"/>
      <c r="C576" s="239"/>
      <c r="D576" s="240"/>
      <c r="E576" s="175"/>
      <c r="F576" s="175"/>
      <c r="G576" s="175"/>
      <c r="H576" s="246"/>
      <c r="I576" s="249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  <c r="AA576" s="175"/>
      <c r="AB576" s="175"/>
      <c r="AC576" s="175"/>
      <c r="AD576" s="175"/>
      <c r="AE576" s="175"/>
    </row>
    <row r="577" ht="15.75" customHeight="1" spans="1:31">
      <c r="A577" s="175"/>
      <c r="B577" s="175"/>
      <c r="C577" s="239"/>
      <c r="D577" s="240"/>
      <c r="E577" s="175"/>
      <c r="F577" s="175"/>
      <c r="G577" s="175"/>
      <c r="H577" s="246"/>
      <c r="I577" s="249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  <c r="AA577" s="175"/>
      <c r="AB577" s="175"/>
      <c r="AC577" s="175"/>
      <c r="AD577" s="175"/>
      <c r="AE577" s="175"/>
    </row>
    <row r="578" ht="15.75" customHeight="1" spans="1:31">
      <c r="A578" s="175"/>
      <c r="B578" s="175"/>
      <c r="C578" s="239"/>
      <c r="D578" s="240"/>
      <c r="E578" s="175"/>
      <c r="F578" s="175"/>
      <c r="G578" s="175"/>
      <c r="H578" s="246"/>
      <c r="I578" s="249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  <c r="AA578" s="175"/>
      <c r="AB578" s="175"/>
      <c r="AC578" s="175"/>
      <c r="AD578" s="175"/>
      <c r="AE578" s="175"/>
    </row>
    <row r="579" ht="15.75" customHeight="1" spans="1:31">
      <c r="A579" s="175"/>
      <c r="B579" s="175"/>
      <c r="C579" s="239"/>
      <c r="D579" s="240"/>
      <c r="E579" s="175"/>
      <c r="F579" s="175"/>
      <c r="G579" s="175"/>
      <c r="H579" s="246"/>
      <c r="I579" s="249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  <c r="AA579" s="175"/>
      <c r="AB579" s="175"/>
      <c r="AC579" s="175"/>
      <c r="AD579" s="175"/>
      <c r="AE579" s="175"/>
    </row>
    <row r="580" ht="15.75" customHeight="1" spans="1:31">
      <c r="A580" s="175"/>
      <c r="B580" s="175"/>
      <c r="C580" s="239"/>
      <c r="D580" s="240"/>
      <c r="E580" s="175"/>
      <c r="F580" s="175"/>
      <c r="G580" s="175"/>
      <c r="H580" s="246"/>
      <c r="I580" s="249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  <c r="AA580" s="175"/>
      <c r="AB580" s="175"/>
      <c r="AC580" s="175"/>
      <c r="AD580" s="175"/>
      <c r="AE580" s="175"/>
    </row>
    <row r="581" ht="15.75" customHeight="1" spans="1:31">
      <c r="A581" s="175"/>
      <c r="B581" s="175"/>
      <c r="C581" s="239"/>
      <c r="D581" s="240"/>
      <c r="E581" s="175"/>
      <c r="F581" s="175"/>
      <c r="G581" s="175"/>
      <c r="H581" s="246"/>
      <c r="I581" s="249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  <c r="AA581" s="175"/>
      <c r="AB581" s="175"/>
      <c r="AC581" s="175"/>
      <c r="AD581" s="175"/>
      <c r="AE581" s="175"/>
    </row>
    <row r="582" ht="15.75" customHeight="1" spans="1:31">
      <c r="A582" s="175"/>
      <c r="B582" s="175"/>
      <c r="C582" s="239"/>
      <c r="D582" s="240"/>
      <c r="E582" s="175"/>
      <c r="F582" s="175"/>
      <c r="G582" s="175"/>
      <c r="H582" s="246"/>
      <c r="I582" s="249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  <c r="AA582" s="175"/>
      <c r="AB582" s="175"/>
      <c r="AC582" s="175"/>
      <c r="AD582" s="175"/>
      <c r="AE582" s="175"/>
    </row>
    <row r="583" ht="15.75" customHeight="1" spans="1:31">
      <c r="A583" s="175"/>
      <c r="B583" s="175"/>
      <c r="C583" s="239"/>
      <c r="D583" s="240"/>
      <c r="E583" s="175"/>
      <c r="F583" s="175"/>
      <c r="G583" s="175"/>
      <c r="H583" s="246"/>
      <c r="I583" s="249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  <c r="AA583" s="175"/>
      <c r="AB583" s="175"/>
      <c r="AC583" s="175"/>
      <c r="AD583" s="175"/>
      <c r="AE583" s="175"/>
    </row>
    <row r="584" ht="15.75" customHeight="1" spans="1:31">
      <c r="A584" s="175"/>
      <c r="B584" s="175"/>
      <c r="C584" s="239"/>
      <c r="D584" s="240"/>
      <c r="E584" s="175"/>
      <c r="F584" s="175"/>
      <c r="G584" s="175"/>
      <c r="H584" s="246"/>
      <c r="I584" s="249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  <c r="AA584" s="175"/>
      <c r="AB584" s="175"/>
      <c r="AC584" s="175"/>
      <c r="AD584" s="175"/>
      <c r="AE584" s="175"/>
    </row>
    <row r="585" ht="15.75" customHeight="1" spans="1:31">
      <c r="A585" s="175"/>
      <c r="B585" s="175"/>
      <c r="C585" s="239"/>
      <c r="D585" s="240"/>
      <c r="E585" s="175"/>
      <c r="F585" s="175"/>
      <c r="G585" s="175"/>
      <c r="H585" s="246"/>
      <c r="I585" s="249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  <c r="AA585" s="175"/>
      <c r="AB585" s="175"/>
      <c r="AC585" s="175"/>
      <c r="AD585" s="175"/>
      <c r="AE585" s="175"/>
    </row>
    <row r="586" ht="15.75" customHeight="1" spans="1:31">
      <c r="A586" s="175"/>
      <c r="B586" s="175"/>
      <c r="C586" s="239"/>
      <c r="D586" s="240"/>
      <c r="E586" s="175"/>
      <c r="F586" s="175"/>
      <c r="G586" s="175"/>
      <c r="H586" s="246"/>
      <c r="I586" s="249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  <c r="AA586" s="175"/>
      <c r="AB586" s="175"/>
      <c r="AC586" s="175"/>
      <c r="AD586" s="175"/>
      <c r="AE586" s="175"/>
    </row>
    <row r="587" ht="15.75" customHeight="1" spans="1:31">
      <c r="A587" s="175"/>
      <c r="B587" s="175"/>
      <c r="C587" s="239"/>
      <c r="D587" s="240"/>
      <c r="E587" s="175"/>
      <c r="F587" s="175"/>
      <c r="G587" s="175"/>
      <c r="H587" s="246"/>
      <c r="I587" s="249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  <c r="AA587" s="175"/>
      <c r="AB587" s="175"/>
      <c r="AC587" s="175"/>
      <c r="AD587" s="175"/>
      <c r="AE587" s="175"/>
    </row>
    <row r="588" ht="15.75" customHeight="1" spans="1:31">
      <c r="A588" s="175"/>
      <c r="B588" s="175"/>
      <c r="C588" s="239"/>
      <c r="D588" s="240"/>
      <c r="E588" s="175"/>
      <c r="F588" s="175"/>
      <c r="G588" s="175"/>
      <c r="H588" s="246"/>
      <c r="I588" s="249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  <c r="AA588" s="175"/>
      <c r="AB588" s="175"/>
      <c r="AC588" s="175"/>
      <c r="AD588" s="175"/>
      <c r="AE588" s="175"/>
    </row>
    <row r="589" ht="15.75" customHeight="1" spans="1:31">
      <c r="A589" s="175"/>
      <c r="B589" s="175"/>
      <c r="C589" s="239"/>
      <c r="D589" s="240"/>
      <c r="E589" s="175"/>
      <c r="F589" s="175"/>
      <c r="G589" s="175"/>
      <c r="H589" s="246"/>
      <c r="I589" s="249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  <c r="AA589" s="175"/>
      <c r="AB589" s="175"/>
      <c r="AC589" s="175"/>
      <c r="AD589" s="175"/>
      <c r="AE589" s="175"/>
    </row>
    <row r="590" ht="15.75" customHeight="1" spans="1:31">
      <c r="A590" s="175"/>
      <c r="B590" s="175"/>
      <c r="C590" s="239"/>
      <c r="D590" s="240"/>
      <c r="E590" s="175"/>
      <c r="F590" s="175"/>
      <c r="G590" s="175"/>
      <c r="H590" s="246"/>
      <c r="I590" s="249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  <c r="AA590" s="175"/>
      <c r="AB590" s="175"/>
      <c r="AC590" s="175"/>
      <c r="AD590" s="175"/>
      <c r="AE590" s="175"/>
    </row>
    <row r="591" ht="15.75" customHeight="1" spans="1:31">
      <c r="A591" s="175"/>
      <c r="B591" s="175"/>
      <c r="C591" s="239"/>
      <c r="D591" s="240"/>
      <c r="E591" s="175"/>
      <c r="F591" s="175"/>
      <c r="G591" s="175"/>
      <c r="H591" s="246"/>
      <c r="I591" s="249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  <c r="AA591" s="175"/>
      <c r="AB591" s="175"/>
      <c r="AC591" s="175"/>
      <c r="AD591" s="175"/>
      <c r="AE591" s="175"/>
    </row>
    <row r="592" ht="15.75" customHeight="1" spans="1:31">
      <c r="A592" s="175"/>
      <c r="B592" s="175"/>
      <c r="C592" s="239"/>
      <c r="D592" s="240"/>
      <c r="E592" s="175"/>
      <c r="F592" s="175"/>
      <c r="G592" s="175"/>
      <c r="H592" s="246"/>
      <c r="I592" s="249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  <c r="AA592" s="175"/>
      <c r="AB592" s="175"/>
      <c r="AC592" s="175"/>
      <c r="AD592" s="175"/>
      <c r="AE592" s="175"/>
    </row>
    <row r="593" ht="15.75" customHeight="1" spans="1:31">
      <c r="A593" s="175"/>
      <c r="B593" s="175"/>
      <c r="C593" s="239"/>
      <c r="D593" s="240"/>
      <c r="E593" s="175"/>
      <c r="F593" s="175"/>
      <c r="G593" s="175"/>
      <c r="H593" s="246"/>
      <c r="I593" s="249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  <c r="AA593" s="175"/>
      <c r="AB593" s="175"/>
      <c r="AC593" s="175"/>
      <c r="AD593" s="175"/>
      <c r="AE593" s="175"/>
    </row>
    <row r="594" ht="15.75" customHeight="1" spans="1:31">
      <c r="A594" s="175"/>
      <c r="B594" s="175"/>
      <c r="C594" s="239"/>
      <c r="D594" s="240"/>
      <c r="E594" s="175"/>
      <c r="F594" s="175"/>
      <c r="G594" s="175"/>
      <c r="H594" s="246"/>
      <c r="I594" s="249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  <c r="AA594" s="175"/>
      <c r="AB594" s="175"/>
      <c r="AC594" s="175"/>
      <c r="AD594" s="175"/>
      <c r="AE594" s="175"/>
    </row>
    <row r="595" ht="15.75" customHeight="1" spans="1:31">
      <c r="A595" s="175"/>
      <c r="B595" s="175"/>
      <c r="C595" s="239"/>
      <c r="D595" s="240"/>
      <c r="E595" s="175"/>
      <c r="F595" s="175"/>
      <c r="G595" s="175"/>
      <c r="H595" s="246"/>
      <c r="I595" s="249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  <c r="AA595" s="175"/>
      <c r="AB595" s="175"/>
      <c r="AC595" s="175"/>
      <c r="AD595" s="175"/>
      <c r="AE595" s="175"/>
    </row>
    <row r="596" ht="15.75" customHeight="1" spans="1:31">
      <c r="A596" s="175"/>
      <c r="B596" s="175"/>
      <c r="C596" s="239"/>
      <c r="D596" s="240"/>
      <c r="E596" s="175"/>
      <c r="F596" s="175"/>
      <c r="G596" s="175"/>
      <c r="H596" s="246"/>
      <c r="I596" s="249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  <c r="AA596" s="175"/>
      <c r="AB596" s="175"/>
      <c r="AC596" s="175"/>
      <c r="AD596" s="175"/>
      <c r="AE596" s="175"/>
    </row>
    <row r="597" ht="15.75" customHeight="1" spans="1:31">
      <c r="A597" s="175"/>
      <c r="B597" s="175"/>
      <c r="C597" s="239"/>
      <c r="D597" s="240"/>
      <c r="E597" s="175"/>
      <c r="F597" s="175"/>
      <c r="G597" s="175"/>
      <c r="H597" s="246"/>
      <c r="I597" s="249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  <c r="AA597" s="175"/>
      <c r="AB597" s="175"/>
      <c r="AC597" s="175"/>
      <c r="AD597" s="175"/>
      <c r="AE597" s="175"/>
    </row>
    <row r="598" ht="15.75" customHeight="1" spans="1:31">
      <c r="A598" s="175"/>
      <c r="B598" s="175"/>
      <c r="C598" s="239"/>
      <c r="D598" s="240"/>
      <c r="E598" s="175"/>
      <c r="F598" s="175"/>
      <c r="G598" s="175"/>
      <c r="H598" s="246"/>
      <c r="I598" s="249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</row>
    <row r="599" ht="15.75" customHeight="1" spans="1:31">
      <c r="A599" s="175"/>
      <c r="B599" s="175"/>
      <c r="C599" s="239"/>
      <c r="D599" s="240"/>
      <c r="E599" s="175"/>
      <c r="F599" s="175"/>
      <c r="G599" s="175"/>
      <c r="H599" s="246"/>
      <c r="I599" s="249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  <c r="AA599" s="175"/>
      <c r="AB599" s="175"/>
      <c r="AC599" s="175"/>
      <c r="AD599" s="175"/>
      <c r="AE599" s="175"/>
    </row>
    <row r="600" ht="15.75" customHeight="1" spans="1:31">
      <c r="A600" s="175"/>
      <c r="B600" s="175"/>
      <c r="C600" s="239"/>
      <c r="D600" s="240"/>
      <c r="E600" s="175"/>
      <c r="F600" s="175"/>
      <c r="G600" s="175"/>
      <c r="H600" s="246"/>
      <c r="I600" s="249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  <c r="AA600" s="175"/>
      <c r="AB600" s="175"/>
      <c r="AC600" s="175"/>
      <c r="AD600" s="175"/>
      <c r="AE600" s="175"/>
    </row>
    <row r="601" ht="15.75" customHeight="1" spans="1:31">
      <c r="A601" s="175"/>
      <c r="B601" s="175"/>
      <c r="C601" s="239"/>
      <c r="D601" s="240"/>
      <c r="E601" s="175"/>
      <c r="F601" s="175"/>
      <c r="G601" s="175"/>
      <c r="H601" s="246"/>
      <c r="I601" s="249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  <c r="AA601" s="175"/>
      <c r="AB601" s="175"/>
      <c r="AC601" s="175"/>
      <c r="AD601" s="175"/>
      <c r="AE601" s="175"/>
    </row>
    <row r="602" ht="15.75" customHeight="1" spans="1:31">
      <c r="A602" s="175"/>
      <c r="B602" s="175"/>
      <c r="C602" s="239"/>
      <c r="D602" s="240"/>
      <c r="E602" s="175"/>
      <c r="F602" s="175"/>
      <c r="G602" s="175"/>
      <c r="H602" s="246"/>
      <c r="I602" s="249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  <c r="AA602" s="175"/>
      <c r="AB602" s="175"/>
      <c r="AC602" s="175"/>
      <c r="AD602" s="175"/>
      <c r="AE602" s="175"/>
    </row>
    <row r="603" ht="15.75" customHeight="1" spans="1:31">
      <c r="A603" s="175"/>
      <c r="B603" s="175"/>
      <c r="C603" s="239"/>
      <c r="D603" s="240"/>
      <c r="E603" s="175"/>
      <c r="F603" s="175"/>
      <c r="G603" s="175"/>
      <c r="H603" s="246"/>
      <c r="I603" s="249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  <c r="AA603" s="175"/>
      <c r="AB603" s="175"/>
      <c r="AC603" s="175"/>
      <c r="AD603" s="175"/>
      <c r="AE603" s="175"/>
    </row>
    <row r="604" ht="15.75" customHeight="1" spans="1:31">
      <c r="A604" s="175"/>
      <c r="B604" s="175"/>
      <c r="C604" s="239"/>
      <c r="D604" s="240"/>
      <c r="E604" s="175"/>
      <c r="F604" s="175"/>
      <c r="G604" s="175"/>
      <c r="H604" s="246"/>
      <c r="I604" s="249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  <c r="AA604" s="175"/>
      <c r="AB604" s="175"/>
      <c r="AC604" s="175"/>
      <c r="AD604" s="175"/>
      <c r="AE604" s="175"/>
    </row>
    <row r="605" ht="15.75" customHeight="1" spans="1:31">
      <c r="A605" s="175"/>
      <c r="B605" s="175"/>
      <c r="C605" s="239"/>
      <c r="D605" s="240"/>
      <c r="E605" s="175"/>
      <c r="F605" s="175"/>
      <c r="G605" s="175"/>
      <c r="H605" s="246"/>
      <c r="I605" s="249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  <c r="AA605" s="175"/>
      <c r="AB605" s="175"/>
      <c r="AC605" s="175"/>
      <c r="AD605" s="175"/>
      <c r="AE605" s="175"/>
    </row>
    <row r="606" ht="15.75" customHeight="1" spans="1:31">
      <c r="A606" s="175"/>
      <c r="B606" s="175"/>
      <c r="C606" s="239"/>
      <c r="D606" s="240"/>
      <c r="E606" s="175"/>
      <c r="F606" s="175"/>
      <c r="G606" s="175"/>
      <c r="H606" s="246"/>
      <c r="I606" s="249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  <c r="AA606" s="175"/>
      <c r="AB606" s="175"/>
      <c r="AC606" s="175"/>
      <c r="AD606" s="175"/>
      <c r="AE606" s="175"/>
    </row>
    <row r="607" ht="15.75" customHeight="1" spans="1:31">
      <c r="A607" s="175"/>
      <c r="B607" s="175"/>
      <c r="C607" s="239"/>
      <c r="D607" s="240"/>
      <c r="E607" s="175"/>
      <c r="F607" s="175"/>
      <c r="G607" s="175"/>
      <c r="H607" s="246"/>
      <c r="I607" s="249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  <c r="AA607" s="175"/>
      <c r="AB607" s="175"/>
      <c r="AC607" s="175"/>
      <c r="AD607" s="175"/>
      <c r="AE607" s="175"/>
    </row>
    <row r="608" ht="15.75" customHeight="1" spans="1:31">
      <c r="A608" s="175"/>
      <c r="B608" s="175"/>
      <c r="C608" s="239"/>
      <c r="D608" s="240"/>
      <c r="E608" s="175"/>
      <c r="F608" s="175"/>
      <c r="G608" s="175"/>
      <c r="H608" s="246"/>
      <c r="I608" s="249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  <c r="AA608" s="175"/>
      <c r="AB608" s="175"/>
      <c r="AC608" s="175"/>
      <c r="AD608" s="175"/>
      <c r="AE608" s="175"/>
    </row>
    <row r="609" ht="15.75" customHeight="1" spans="1:31">
      <c r="A609" s="175"/>
      <c r="B609" s="175"/>
      <c r="C609" s="239"/>
      <c r="D609" s="240"/>
      <c r="E609" s="175"/>
      <c r="F609" s="175"/>
      <c r="G609" s="175"/>
      <c r="H609" s="246"/>
      <c r="I609" s="249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  <c r="AA609" s="175"/>
      <c r="AB609" s="175"/>
      <c r="AC609" s="175"/>
      <c r="AD609" s="175"/>
      <c r="AE609" s="175"/>
    </row>
    <row r="610" ht="15.75" customHeight="1" spans="1:31">
      <c r="A610" s="175"/>
      <c r="B610" s="175"/>
      <c r="C610" s="239"/>
      <c r="D610" s="240"/>
      <c r="E610" s="175"/>
      <c r="F610" s="175"/>
      <c r="G610" s="175"/>
      <c r="H610" s="246"/>
      <c r="I610" s="249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  <c r="AA610" s="175"/>
      <c r="AB610" s="175"/>
      <c r="AC610" s="175"/>
      <c r="AD610" s="175"/>
      <c r="AE610" s="175"/>
    </row>
    <row r="611" ht="15.75" customHeight="1" spans="1:31">
      <c r="A611" s="175"/>
      <c r="B611" s="175"/>
      <c r="C611" s="239"/>
      <c r="D611" s="240"/>
      <c r="E611" s="175"/>
      <c r="F611" s="175"/>
      <c r="G611" s="175"/>
      <c r="H611" s="246"/>
      <c r="I611" s="249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  <c r="AA611" s="175"/>
      <c r="AB611" s="175"/>
      <c r="AC611" s="175"/>
      <c r="AD611" s="175"/>
      <c r="AE611" s="175"/>
    </row>
    <row r="612" ht="15.75" customHeight="1" spans="1:31">
      <c r="A612" s="175"/>
      <c r="B612" s="175"/>
      <c r="C612" s="239"/>
      <c r="D612" s="240"/>
      <c r="E612" s="175"/>
      <c r="F612" s="175"/>
      <c r="G612" s="175"/>
      <c r="H612" s="246"/>
      <c r="I612" s="249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  <c r="AA612" s="175"/>
      <c r="AB612" s="175"/>
      <c r="AC612" s="175"/>
      <c r="AD612" s="175"/>
      <c r="AE612" s="175"/>
    </row>
    <row r="613" ht="15.75" customHeight="1" spans="1:31">
      <c r="A613" s="175"/>
      <c r="B613" s="175"/>
      <c r="C613" s="239"/>
      <c r="D613" s="240"/>
      <c r="E613" s="175"/>
      <c r="F613" s="175"/>
      <c r="G613" s="175"/>
      <c r="H613" s="246"/>
      <c r="I613" s="249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  <c r="AA613" s="175"/>
      <c r="AB613" s="175"/>
      <c r="AC613" s="175"/>
      <c r="AD613" s="175"/>
      <c r="AE613" s="175"/>
    </row>
    <row r="614" ht="15.75" customHeight="1" spans="1:31">
      <c r="A614" s="175"/>
      <c r="B614" s="175"/>
      <c r="C614" s="239"/>
      <c r="D614" s="240"/>
      <c r="E614" s="175"/>
      <c r="F614" s="175"/>
      <c r="G614" s="175"/>
      <c r="H614" s="246"/>
      <c r="I614" s="249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  <c r="AA614" s="175"/>
      <c r="AB614" s="175"/>
      <c r="AC614" s="175"/>
      <c r="AD614" s="175"/>
      <c r="AE614" s="175"/>
    </row>
    <row r="615" ht="15.75" customHeight="1" spans="1:31">
      <c r="A615" s="175"/>
      <c r="B615" s="175"/>
      <c r="C615" s="239"/>
      <c r="D615" s="240"/>
      <c r="E615" s="175"/>
      <c r="F615" s="175"/>
      <c r="G615" s="175"/>
      <c r="H615" s="246"/>
      <c r="I615" s="249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  <c r="AA615" s="175"/>
      <c r="AB615" s="175"/>
      <c r="AC615" s="175"/>
      <c r="AD615" s="175"/>
      <c r="AE615" s="175"/>
    </row>
    <row r="616" ht="15.75" customHeight="1" spans="1:31">
      <c r="A616" s="175"/>
      <c r="B616" s="175"/>
      <c r="C616" s="239"/>
      <c r="D616" s="240"/>
      <c r="E616" s="175"/>
      <c r="F616" s="175"/>
      <c r="G616" s="175"/>
      <c r="H616" s="246"/>
      <c r="I616" s="249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  <c r="AA616" s="175"/>
      <c r="AB616" s="175"/>
      <c r="AC616" s="175"/>
      <c r="AD616" s="175"/>
      <c r="AE616" s="175"/>
    </row>
    <row r="617" ht="15.75" customHeight="1" spans="1:31">
      <c r="A617" s="175"/>
      <c r="B617" s="175"/>
      <c r="C617" s="239"/>
      <c r="D617" s="240"/>
      <c r="E617" s="175"/>
      <c r="F617" s="175"/>
      <c r="G617" s="175"/>
      <c r="H617" s="246"/>
      <c r="I617" s="249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  <c r="AA617" s="175"/>
      <c r="AB617" s="175"/>
      <c r="AC617" s="175"/>
      <c r="AD617" s="175"/>
      <c r="AE617" s="175"/>
    </row>
    <row r="618" ht="15.75" customHeight="1" spans="1:31">
      <c r="A618" s="175"/>
      <c r="B618" s="175"/>
      <c r="C618" s="239"/>
      <c r="D618" s="240"/>
      <c r="E618" s="175"/>
      <c r="F618" s="175"/>
      <c r="G618" s="175"/>
      <c r="H618" s="246"/>
      <c r="I618" s="249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  <c r="AA618" s="175"/>
      <c r="AB618" s="175"/>
      <c r="AC618" s="175"/>
      <c r="AD618" s="175"/>
      <c r="AE618" s="175"/>
    </row>
    <row r="619" ht="15.75" customHeight="1" spans="1:31">
      <c r="A619" s="175"/>
      <c r="B619" s="175"/>
      <c r="C619" s="239"/>
      <c r="D619" s="240"/>
      <c r="E619" s="175"/>
      <c r="F619" s="175"/>
      <c r="G619" s="175"/>
      <c r="H619" s="246"/>
      <c r="I619" s="249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  <c r="AA619" s="175"/>
      <c r="AB619" s="175"/>
      <c r="AC619" s="175"/>
      <c r="AD619" s="175"/>
      <c r="AE619" s="175"/>
    </row>
    <row r="620" ht="15.75" customHeight="1" spans="1:31">
      <c r="A620" s="175"/>
      <c r="B620" s="175"/>
      <c r="C620" s="239"/>
      <c r="D620" s="240"/>
      <c r="E620" s="175"/>
      <c r="F620" s="175"/>
      <c r="G620" s="175"/>
      <c r="H620" s="246"/>
      <c r="I620" s="249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  <c r="AA620" s="175"/>
      <c r="AB620" s="175"/>
      <c r="AC620" s="175"/>
      <c r="AD620" s="175"/>
      <c r="AE620" s="175"/>
    </row>
    <row r="621" ht="15.75" customHeight="1" spans="1:31">
      <c r="A621" s="175"/>
      <c r="B621" s="175"/>
      <c r="C621" s="239"/>
      <c r="D621" s="240"/>
      <c r="E621" s="175"/>
      <c r="F621" s="175"/>
      <c r="G621" s="175"/>
      <c r="H621" s="246"/>
      <c r="I621" s="249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  <c r="AA621" s="175"/>
      <c r="AB621" s="175"/>
      <c r="AC621" s="175"/>
      <c r="AD621" s="175"/>
      <c r="AE621" s="175"/>
    </row>
    <row r="622" ht="15.75" customHeight="1" spans="1:31">
      <c r="A622" s="175"/>
      <c r="B622" s="175"/>
      <c r="C622" s="239"/>
      <c r="D622" s="240"/>
      <c r="E622" s="175"/>
      <c r="F622" s="175"/>
      <c r="G622" s="175"/>
      <c r="H622" s="246"/>
      <c r="I622" s="249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  <c r="AA622" s="175"/>
      <c r="AB622" s="175"/>
      <c r="AC622" s="175"/>
      <c r="AD622" s="175"/>
      <c r="AE622" s="175"/>
    </row>
    <row r="623" ht="15.75" customHeight="1" spans="1:31">
      <c r="A623" s="175"/>
      <c r="B623" s="175"/>
      <c r="C623" s="239"/>
      <c r="D623" s="240"/>
      <c r="E623" s="175"/>
      <c r="F623" s="175"/>
      <c r="G623" s="175"/>
      <c r="H623" s="246"/>
      <c r="I623" s="249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  <c r="AA623" s="175"/>
      <c r="AB623" s="175"/>
      <c r="AC623" s="175"/>
      <c r="AD623" s="175"/>
      <c r="AE623" s="175"/>
    </row>
    <row r="624" ht="15.75" customHeight="1" spans="1:31">
      <c r="A624" s="175"/>
      <c r="B624" s="175"/>
      <c r="C624" s="239"/>
      <c r="D624" s="240"/>
      <c r="E624" s="175"/>
      <c r="F624" s="175"/>
      <c r="G624" s="175"/>
      <c r="H624" s="246"/>
      <c r="I624" s="249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  <c r="AA624" s="175"/>
      <c r="AB624" s="175"/>
      <c r="AC624" s="175"/>
      <c r="AD624" s="175"/>
      <c r="AE624" s="175"/>
    </row>
    <row r="625" ht="15.75" customHeight="1" spans="1:31">
      <c r="A625" s="175"/>
      <c r="B625" s="175"/>
      <c r="C625" s="239"/>
      <c r="D625" s="240"/>
      <c r="E625" s="175"/>
      <c r="F625" s="175"/>
      <c r="G625" s="175"/>
      <c r="H625" s="246"/>
      <c r="I625" s="249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  <c r="AA625" s="175"/>
      <c r="AB625" s="175"/>
      <c r="AC625" s="175"/>
      <c r="AD625" s="175"/>
      <c r="AE625" s="175"/>
    </row>
    <row r="626" ht="15.75" customHeight="1" spans="1:31">
      <c r="A626" s="175"/>
      <c r="B626" s="175"/>
      <c r="C626" s="239"/>
      <c r="D626" s="240"/>
      <c r="E626" s="175"/>
      <c r="F626" s="175"/>
      <c r="G626" s="175"/>
      <c r="H626" s="246"/>
      <c r="I626" s="249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  <c r="AA626" s="175"/>
      <c r="AB626" s="175"/>
      <c r="AC626" s="175"/>
      <c r="AD626" s="175"/>
      <c r="AE626" s="175"/>
    </row>
    <row r="627" ht="15.75" customHeight="1" spans="1:31">
      <c r="A627" s="175"/>
      <c r="B627" s="175"/>
      <c r="C627" s="239"/>
      <c r="D627" s="240"/>
      <c r="E627" s="175"/>
      <c r="F627" s="175"/>
      <c r="G627" s="175"/>
      <c r="H627" s="246"/>
      <c r="I627" s="249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  <c r="AA627" s="175"/>
      <c r="AB627" s="175"/>
      <c r="AC627" s="175"/>
      <c r="AD627" s="175"/>
      <c r="AE627" s="175"/>
    </row>
    <row r="628" ht="15.75" customHeight="1" spans="1:31">
      <c r="A628" s="175"/>
      <c r="B628" s="175"/>
      <c r="C628" s="239"/>
      <c r="D628" s="240"/>
      <c r="E628" s="175"/>
      <c r="F628" s="175"/>
      <c r="G628" s="175"/>
      <c r="H628" s="246"/>
      <c r="I628" s="249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  <c r="AA628" s="175"/>
      <c r="AB628" s="175"/>
      <c r="AC628" s="175"/>
      <c r="AD628" s="175"/>
      <c r="AE628" s="175"/>
    </row>
    <row r="629" ht="15.75" customHeight="1" spans="1:31">
      <c r="A629" s="175"/>
      <c r="B629" s="175"/>
      <c r="C629" s="239"/>
      <c r="D629" s="240"/>
      <c r="E629" s="175"/>
      <c r="F629" s="175"/>
      <c r="G629" s="175"/>
      <c r="H629" s="246"/>
      <c r="I629" s="249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  <c r="AA629" s="175"/>
      <c r="AB629" s="175"/>
      <c r="AC629" s="175"/>
      <c r="AD629" s="175"/>
      <c r="AE629" s="175"/>
    </row>
    <row r="630" ht="15.75" customHeight="1" spans="1:31">
      <c r="A630" s="175"/>
      <c r="B630" s="175"/>
      <c r="C630" s="239"/>
      <c r="D630" s="240"/>
      <c r="E630" s="175"/>
      <c r="F630" s="175"/>
      <c r="G630" s="175"/>
      <c r="H630" s="246"/>
      <c r="I630" s="249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  <c r="AA630" s="175"/>
      <c r="AB630" s="175"/>
      <c r="AC630" s="175"/>
      <c r="AD630" s="175"/>
      <c r="AE630" s="175"/>
    </row>
    <row r="631" ht="15.75" customHeight="1" spans="1:31">
      <c r="A631" s="175"/>
      <c r="B631" s="175"/>
      <c r="C631" s="239"/>
      <c r="D631" s="240"/>
      <c r="E631" s="175"/>
      <c r="F631" s="175"/>
      <c r="G631" s="175"/>
      <c r="H631" s="246"/>
      <c r="I631" s="249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  <c r="AA631" s="175"/>
      <c r="AB631" s="175"/>
      <c r="AC631" s="175"/>
      <c r="AD631" s="175"/>
      <c r="AE631" s="175"/>
    </row>
    <row r="632" ht="15.75" customHeight="1" spans="1:31">
      <c r="A632" s="175"/>
      <c r="B632" s="175"/>
      <c r="C632" s="239"/>
      <c r="D632" s="240"/>
      <c r="E632" s="175"/>
      <c r="F632" s="175"/>
      <c r="G632" s="175"/>
      <c r="H632" s="246"/>
      <c r="I632" s="249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  <c r="AA632" s="175"/>
      <c r="AB632" s="175"/>
      <c r="AC632" s="175"/>
      <c r="AD632" s="175"/>
      <c r="AE632" s="175"/>
    </row>
    <row r="633" ht="15.75" customHeight="1" spans="1:31">
      <c r="A633" s="175"/>
      <c r="B633" s="175"/>
      <c r="C633" s="239"/>
      <c r="D633" s="240"/>
      <c r="E633" s="175"/>
      <c r="F633" s="175"/>
      <c r="G633" s="175"/>
      <c r="H633" s="246"/>
      <c r="I633" s="249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  <c r="AA633" s="175"/>
      <c r="AB633" s="175"/>
      <c r="AC633" s="175"/>
      <c r="AD633" s="175"/>
      <c r="AE633" s="175"/>
    </row>
    <row r="634" ht="15.75" customHeight="1" spans="1:31">
      <c r="A634" s="175"/>
      <c r="B634" s="175"/>
      <c r="C634" s="239"/>
      <c r="D634" s="240"/>
      <c r="E634" s="175"/>
      <c r="F634" s="175"/>
      <c r="G634" s="175"/>
      <c r="H634" s="246"/>
      <c r="I634" s="249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  <c r="AA634" s="175"/>
      <c r="AB634" s="175"/>
      <c r="AC634" s="175"/>
      <c r="AD634" s="175"/>
      <c r="AE634" s="175"/>
    </row>
    <row r="635" ht="15.75" customHeight="1" spans="1:31">
      <c r="A635" s="175"/>
      <c r="B635" s="175"/>
      <c r="C635" s="239"/>
      <c r="D635" s="240"/>
      <c r="E635" s="175"/>
      <c r="F635" s="175"/>
      <c r="G635" s="175"/>
      <c r="H635" s="246"/>
      <c r="I635" s="249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  <c r="AA635" s="175"/>
      <c r="AB635" s="175"/>
      <c r="AC635" s="175"/>
      <c r="AD635" s="175"/>
      <c r="AE635" s="175"/>
    </row>
    <row r="636" ht="15.75" customHeight="1" spans="1:31">
      <c r="A636" s="175"/>
      <c r="B636" s="175"/>
      <c r="C636" s="239"/>
      <c r="D636" s="240"/>
      <c r="E636" s="175"/>
      <c r="F636" s="175"/>
      <c r="G636" s="175"/>
      <c r="H636" s="246"/>
      <c r="I636" s="249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  <c r="AA636" s="175"/>
      <c r="AB636" s="175"/>
      <c r="AC636" s="175"/>
      <c r="AD636" s="175"/>
      <c r="AE636" s="175"/>
    </row>
    <row r="637" ht="15.75" customHeight="1" spans="1:31">
      <c r="A637" s="175"/>
      <c r="B637" s="175"/>
      <c r="C637" s="239"/>
      <c r="D637" s="240"/>
      <c r="E637" s="175"/>
      <c r="F637" s="175"/>
      <c r="G637" s="175"/>
      <c r="H637" s="246"/>
      <c r="I637" s="249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  <c r="AA637" s="175"/>
      <c r="AB637" s="175"/>
      <c r="AC637" s="175"/>
      <c r="AD637" s="175"/>
      <c r="AE637" s="175"/>
    </row>
    <row r="638" ht="15.75" customHeight="1" spans="1:31">
      <c r="A638" s="175"/>
      <c r="B638" s="175"/>
      <c r="C638" s="239"/>
      <c r="D638" s="240"/>
      <c r="E638" s="175"/>
      <c r="F638" s="175"/>
      <c r="G638" s="175"/>
      <c r="H638" s="246"/>
      <c r="I638" s="249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  <c r="AA638" s="175"/>
      <c r="AB638" s="175"/>
      <c r="AC638" s="175"/>
      <c r="AD638" s="175"/>
      <c r="AE638" s="175"/>
    </row>
    <row r="639" ht="15.75" customHeight="1" spans="1:31">
      <c r="A639" s="175"/>
      <c r="B639" s="175"/>
      <c r="C639" s="239"/>
      <c r="D639" s="240"/>
      <c r="E639" s="175"/>
      <c r="F639" s="175"/>
      <c r="G639" s="175"/>
      <c r="H639" s="246"/>
      <c r="I639" s="249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  <c r="AA639" s="175"/>
      <c r="AB639" s="175"/>
      <c r="AC639" s="175"/>
      <c r="AD639" s="175"/>
      <c r="AE639" s="175"/>
    </row>
    <row r="640" ht="15.75" customHeight="1" spans="1:31">
      <c r="A640" s="175"/>
      <c r="B640" s="175"/>
      <c r="C640" s="239"/>
      <c r="D640" s="240"/>
      <c r="E640" s="175"/>
      <c r="F640" s="175"/>
      <c r="G640" s="175"/>
      <c r="H640" s="246"/>
      <c r="I640" s="249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  <c r="AA640" s="175"/>
      <c r="AB640" s="175"/>
      <c r="AC640" s="175"/>
      <c r="AD640" s="175"/>
      <c r="AE640" s="175"/>
    </row>
    <row r="641" ht="15.75" customHeight="1" spans="1:31">
      <c r="A641" s="175"/>
      <c r="B641" s="175"/>
      <c r="C641" s="239"/>
      <c r="D641" s="240"/>
      <c r="E641" s="175"/>
      <c r="F641" s="175"/>
      <c r="G641" s="175"/>
      <c r="H641" s="246"/>
      <c r="I641" s="249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  <c r="AA641" s="175"/>
      <c r="AB641" s="175"/>
      <c r="AC641" s="175"/>
      <c r="AD641" s="175"/>
      <c r="AE641" s="175"/>
    </row>
    <row r="642" ht="15.75" customHeight="1" spans="1:31">
      <c r="A642" s="175"/>
      <c r="B642" s="175"/>
      <c r="C642" s="239"/>
      <c r="D642" s="240"/>
      <c r="E642" s="175"/>
      <c r="F642" s="175"/>
      <c r="G642" s="175"/>
      <c r="H642" s="246"/>
      <c r="I642" s="249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  <c r="AA642" s="175"/>
      <c r="AB642" s="175"/>
      <c r="AC642" s="175"/>
      <c r="AD642" s="175"/>
      <c r="AE642" s="175"/>
    </row>
    <row r="643" ht="15.75" customHeight="1" spans="1:31">
      <c r="A643" s="175"/>
      <c r="B643" s="175"/>
      <c r="C643" s="239"/>
      <c r="D643" s="240"/>
      <c r="E643" s="175"/>
      <c r="F643" s="175"/>
      <c r="G643" s="175"/>
      <c r="H643" s="246"/>
      <c r="I643" s="249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  <c r="AA643" s="175"/>
      <c r="AB643" s="175"/>
      <c r="AC643" s="175"/>
      <c r="AD643" s="175"/>
      <c r="AE643" s="175"/>
    </row>
    <row r="644" ht="15.75" customHeight="1" spans="1:31">
      <c r="A644" s="175"/>
      <c r="B644" s="175"/>
      <c r="C644" s="239"/>
      <c r="D644" s="240"/>
      <c r="E644" s="175"/>
      <c r="F644" s="175"/>
      <c r="G644" s="175"/>
      <c r="H644" s="246"/>
      <c r="I644" s="249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  <c r="AA644" s="175"/>
      <c r="AB644" s="175"/>
      <c r="AC644" s="175"/>
      <c r="AD644" s="175"/>
      <c r="AE644" s="175"/>
    </row>
    <row r="645" ht="15.75" customHeight="1" spans="1:31">
      <c r="A645" s="175"/>
      <c r="B645" s="175"/>
      <c r="C645" s="239"/>
      <c r="D645" s="240"/>
      <c r="E645" s="175"/>
      <c r="F645" s="175"/>
      <c r="G645" s="175"/>
      <c r="H645" s="246"/>
      <c r="I645" s="249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  <c r="AA645" s="175"/>
      <c r="AB645" s="175"/>
      <c r="AC645" s="175"/>
      <c r="AD645" s="175"/>
      <c r="AE645" s="175"/>
    </row>
    <row r="646" ht="15.75" customHeight="1" spans="1:31">
      <c r="A646" s="175"/>
      <c r="B646" s="175"/>
      <c r="C646" s="239"/>
      <c r="D646" s="240"/>
      <c r="E646" s="175"/>
      <c r="F646" s="175"/>
      <c r="G646" s="175"/>
      <c r="H646" s="246"/>
      <c r="I646" s="249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  <c r="AA646" s="175"/>
      <c r="AB646" s="175"/>
      <c r="AC646" s="175"/>
      <c r="AD646" s="175"/>
      <c r="AE646" s="175"/>
    </row>
    <row r="647" ht="15.75" customHeight="1" spans="1:31">
      <c r="A647" s="175"/>
      <c r="B647" s="175"/>
      <c r="C647" s="239"/>
      <c r="D647" s="240"/>
      <c r="E647" s="175"/>
      <c r="F647" s="175"/>
      <c r="G647" s="175"/>
      <c r="H647" s="246"/>
      <c r="I647" s="249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  <c r="AA647" s="175"/>
      <c r="AB647" s="175"/>
      <c r="AC647" s="175"/>
      <c r="AD647" s="175"/>
      <c r="AE647" s="175"/>
    </row>
    <row r="648" ht="15.75" customHeight="1" spans="1:31">
      <c r="A648" s="175"/>
      <c r="B648" s="175"/>
      <c r="C648" s="239"/>
      <c r="D648" s="240"/>
      <c r="E648" s="175"/>
      <c r="F648" s="175"/>
      <c r="G648" s="175"/>
      <c r="H648" s="246"/>
      <c r="I648" s="249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  <c r="AA648" s="175"/>
      <c r="AB648" s="175"/>
      <c r="AC648" s="175"/>
      <c r="AD648" s="175"/>
      <c r="AE648" s="175"/>
    </row>
    <row r="649" ht="15.75" customHeight="1" spans="1:31">
      <c r="A649" s="175"/>
      <c r="B649" s="175"/>
      <c r="C649" s="239"/>
      <c r="D649" s="240"/>
      <c r="E649" s="175"/>
      <c r="F649" s="175"/>
      <c r="G649" s="175"/>
      <c r="H649" s="246"/>
      <c r="I649" s="249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  <c r="AA649" s="175"/>
      <c r="AB649" s="175"/>
      <c r="AC649" s="175"/>
      <c r="AD649" s="175"/>
      <c r="AE649" s="175"/>
    </row>
    <row r="650" ht="15.75" customHeight="1" spans="1:31">
      <c r="A650" s="175"/>
      <c r="B650" s="175"/>
      <c r="C650" s="239"/>
      <c r="D650" s="240"/>
      <c r="E650" s="175"/>
      <c r="F650" s="175"/>
      <c r="G650" s="175"/>
      <c r="H650" s="246"/>
      <c r="I650" s="249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  <c r="AA650" s="175"/>
      <c r="AB650" s="175"/>
      <c r="AC650" s="175"/>
      <c r="AD650" s="175"/>
      <c r="AE650" s="175"/>
    </row>
    <row r="651" ht="15.75" customHeight="1" spans="1:31">
      <c r="A651" s="175"/>
      <c r="B651" s="175"/>
      <c r="C651" s="239"/>
      <c r="D651" s="240"/>
      <c r="E651" s="175"/>
      <c r="F651" s="175"/>
      <c r="G651" s="175"/>
      <c r="H651" s="246"/>
      <c r="I651" s="249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  <c r="AA651" s="175"/>
      <c r="AB651" s="175"/>
      <c r="AC651" s="175"/>
      <c r="AD651" s="175"/>
      <c r="AE651" s="175"/>
    </row>
    <row r="652" ht="15.75" customHeight="1" spans="1:31">
      <c r="A652" s="175"/>
      <c r="B652" s="175"/>
      <c r="C652" s="239"/>
      <c r="D652" s="240"/>
      <c r="E652" s="175"/>
      <c r="F652" s="175"/>
      <c r="G652" s="175"/>
      <c r="H652" s="246"/>
      <c r="I652" s="249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  <c r="AA652" s="175"/>
      <c r="AB652" s="175"/>
      <c r="AC652" s="175"/>
      <c r="AD652" s="175"/>
      <c r="AE652" s="175"/>
    </row>
    <row r="653" ht="15.75" customHeight="1" spans="1:31">
      <c r="A653" s="175"/>
      <c r="B653" s="175"/>
      <c r="C653" s="239"/>
      <c r="D653" s="240"/>
      <c r="E653" s="175"/>
      <c r="F653" s="175"/>
      <c r="G653" s="175"/>
      <c r="H653" s="246"/>
      <c r="I653" s="249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  <c r="AA653" s="175"/>
      <c r="AB653" s="175"/>
      <c r="AC653" s="175"/>
      <c r="AD653" s="175"/>
      <c r="AE653" s="175"/>
    </row>
    <row r="654" ht="15.75" customHeight="1" spans="1:31">
      <c r="A654" s="175"/>
      <c r="B654" s="175"/>
      <c r="C654" s="239"/>
      <c r="D654" s="240"/>
      <c r="E654" s="175"/>
      <c r="F654" s="175"/>
      <c r="G654" s="175"/>
      <c r="H654" s="246"/>
      <c r="I654" s="249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  <c r="AA654" s="175"/>
      <c r="AB654" s="175"/>
      <c r="AC654" s="175"/>
      <c r="AD654" s="175"/>
      <c r="AE654" s="175"/>
    </row>
    <row r="655" ht="15.75" customHeight="1" spans="1:31">
      <c r="A655" s="175"/>
      <c r="B655" s="175"/>
      <c r="C655" s="239"/>
      <c r="D655" s="240"/>
      <c r="E655" s="175"/>
      <c r="F655" s="175"/>
      <c r="G655" s="175"/>
      <c r="H655" s="246"/>
      <c r="I655" s="249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  <c r="AA655" s="175"/>
      <c r="AB655" s="175"/>
      <c r="AC655" s="175"/>
      <c r="AD655" s="175"/>
      <c r="AE655" s="175"/>
    </row>
    <row r="656" ht="15.75" customHeight="1" spans="1:31">
      <c r="A656" s="175"/>
      <c r="B656" s="175"/>
      <c r="C656" s="239"/>
      <c r="D656" s="240"/>
      <c r="E656" s="175"/>
      <c r="F656" s="175"/>
      <c r="G656" s="175"/>
      <c r="H656" s="246"/>
      <c r="I656" s="249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  <c r="AA656" s="175"/>
      <c r="AB656" s="175"/>
      <c r="AC656" s="175"/>
      <c r="AD656" s="175"/>
      <c r="AE656" s="175"/>
    </row>
    <row r="657" ht="15.75" customHeight="1" spans="1:31">
      <c r="A657" s="175"/>
      <c r="B657" s="175"/>
      <c r="C657" s="239"/>
      <c r="D657" s="240"/>
      <c r="E657" s="175"/>
      <c r="F657" s="175"/>
      <c r="G657" s="175"/>
      <c r="H657" s="246"/>
      <c r="I657" s="249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  <c r="AA657" s="175"/>
      <c r="AB657" s="175"/>
      <c r="AC657" s="175"/>
      <c r="AD657" s="175"/>
      <c r="AE657" s="175"/>
    </row>
    <row r="658" ht="15.75" customHeight="1" spans="1:31">
      <c r="A658" s="175"/>
      <c r="B658" s="175"/>
      <c r="C658" s="239"/>
      <c r="D658" s="240"/>
      <c r="E658" s="175"/>
      <c r="F658" s="175"/>
      <c r="G658" s="175"/>
      <c r="H658" s="246"/>
      <c r="I658" s="249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  <c r="AA658" s="175"/>
      <c r="AB658" s="175"/>
      <c r="AC658" s="175"/>
      <c r="AD658" s="175"/>
      <c r="AE658" s="175"/>
    </row>
    <row r="659" ht="15.75" customHeight="1" spans="1:31">
      <c r="A659" s="175"/>
      <c r="B659" s="175"/>
      <c r="C659" s="239"/>
      <c r="D659" s="240"/>
      <c r="E659" s="175"/>
      <c r="F659" s="175"/>
      <c r="G659" s="175"/>
      <c r="H659" s="246"/>
      <c r="I659" s="249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  <c r="AA659" s="175"/>
      <c r="AB659" s="175"/>
      <c r="AC659" s="175"/>
      <c r="AD659" s="175"/>
      <c r="AE659" s="175"/>
    </row>
    <row r="660" ht="15.75" customHeight="1" spans="1:31">
      <c r="A660" s="175"/>
      <c r="B660" s="175"/>
      <c r="C660" s="239"/>
      <c r="D660" s="240"/>
      <c r="E660" s="175"/>
      <c r="F660" s="175"/>
      <c r="G660" s="175"/>
      <c r="H660" s="246"/>
      <c r="I660" s="249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  <c r="AA660" s="175"/>
      <c r="AB660" s="175"/>
      <c r="AC660" s="175"/>
      <c r="AD660" s="175"/>
      <c r="AE660" s="175"/>
    </row>
    <row r="661" ht="15.75" customHeight="1" spans="1:31">
      <c r="A661" s="175"/>
      <c r="B661" s="175"/>
      <c r="C661" s="239"/>
      <c r="D661" s="240"/>
      <c r="E661" s="175"/>
      <c r="F661" s="175"/>
      <c r="G661" s="175"/>
      <c r="H661" s="246"/>
      <c r="I661" s="249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  <c r="AA661" s="175"/>
      <c r="AB661" s="175"/>
      <c r="AC661" s="175"/>
      <c r="AD661" s="175"/>
      <c r="AE661" s="175"/>
    </row>
    <row r="662" ht="15.75" customHeight="1" spans="1:31">
      <c r="A662" s="175"/>
      <c r="B662" s="175"/>
      <c r="C662" s="239"/>
      <c r="D662" s="240"/>
      <c r="E662" s="175"/>
      <c r="F662" s="175"/>
      <c r="G662" s="175"/>
      <c r="H662" s="246"/>
      <c r="I662" s="249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  <c r="AA662" s="175"/>
      <c r="AB662" s="175"/>
      <c r="AC662" s="175"/>
      <c r="AD662" s="175"/>
      <c r="AE662" s="175"/>
    </row>
    <row r="663" ht="15.75" customHeight="1" spans="1:31">
      <c r="A663" s="175"/>
      <c r="B663" s="175"/>
      <c r="C663" s="239"/>
      <c r="D663" s="240"/>
      <c r="E663" s="175"/>
      <c r="F663" s="175"/>
      <c r="G663" s="175"/>
      <c r="H663" s="246"/>
      <c r="I663" s="249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  <c r="AA663" s="175"/>
      <c r="AB663" s="175"/>
      <c r="AC663" s="175"/>
      <c r="AD663" s="175"/>
      <c r="AE663" s="175"/>
    </row>
    <row r="664" ht="15.75" customHeight="1" spans="1:31">
      <c r="A664" s="175"/>
      <c r="B664" s="175"/>
      <c r="C664" s="239"/>
      <c r="D664" s="240"/>
      <c r="E664" s="175"/>
      <c r="F664" s="175"/>
      <c r="G664" s="175"/>
      <c r="H664" s="246"/>
      <c r="I664" s="249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  <c r="AA664" s="175"/>
      <c r="AB664" s="175"/>
      <c r="AC664" s="175"/>
      <c r="AD664" s="175"/>
      <c r="AE664" s="175"/>
    </row>
    <row r="665" ht="15.75" customHeight="1" spans="1:31">
      <c r="A665" s="175"/>
      <c r="B665" s="175"/>
      <c r="C665" s="239"/>
      <c r="D665" s="240"/>
      <c r="E665" s="175"/>
      <c r="F665" s="175"/>
      <c r="G665" s="175"/>
      <c r="H665" s="246"/>
      <c r="I665" s="249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  <c r="AA665" s="175"/>
      <c r="AB665" s="175"/>
      <c r="AC665" s="175"/>
      <c r="AD665" s="175"/>
      <c r="AE665" s="175"/>
    </row>
    <row r="666" ht="15.75" customHeight="1" spans="1:31">
      <c r="A666" s="175"/>
      <c r="B666" s="175"/>
      <c r="C666" s="239"/>
      <c r="D666" s="240"/>
      <c r="E666" s="175"/>
      <c r="F666" s="175"/>
      <c r="G666" s="175"/>
      <c r="H666" s="246"/>
      <c r="I666" s="249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  <c r="AA666" s="175"/>
      <c r="AB666" s="175"/>
      <c r="AC666" s="175"/>
      <c r="AD666" s="175"/>
      <c r="AE666" s="175"/>
    </row>
    <row r="667" ht="15.75" customHeight="1" spans="1:31">
      <c r="A667" s="175"/>
      <c r="B667" s="175"/>
      <c r="C667" s="239"/>
      <c r="D667" s="240"/>
      <c r="E667" s="175"/>
      <c r="F667" s="175"/>
      <c r="G667" s="175"/>
      <c r="H667" s="246"/>
      <c r="I667" s="249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  <c r="AA667" s="175"/>
      <c r="AB667" s="175"/>
      <c r="AC667" s="175"/>
      <c r="AD667" s="175"/>
      <c r="AE667" s="175"/>
    </row>
    <row r="668" ht="15.75" customHeight="1" spans="1:31">
      <c r="A668" s="175"/>
      <c r="B668" s="175"/>
      <c r="C668" s="239"/>
      <c r="D668" s="240"/>
      <c r="E668" s="175"/>
      <c r="F668" s="175"/>
      <c r="G668" s="175"/>
      <c r="H668" s="246"/>
      <c r="I668" s="249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  <c r="AA668" s="175"/>
      <c r="AB668" s="175"/>
      <c r="AC668" s="175"/>
      <c r="AD668" s="175"/>
      <c r="AE668" s="175"/>
    </row>
    <row r="669" ht="15.75" customHeight="1" spans="1:31">
      <c r="A669" s="175"/>
      <c r="B669" s="175"/>
      <c r="C669" s="239"/>
      <c r="D669" s="240"/>
      <c r="E669" s="175"/>
      <c r="F669" s="175"/>
      <c r="G669" s="175"/>
      <c r="H669" s="246"/>
      <c r="I669" s="249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  <c r="AA669" s="175"/>
      <c r="AB669" s="175"/>
      <c r="AC669" s="175"/>
      <c r="AD669" s="175"/>
      <c r="AE669" s="175"/>
    </row>
    <row r="670" ht="15.75" customHeight="1" spans="1:31">
      <c r="A670" s="175"/>
      <c r="B670" s="175"/>
      <c r="C670" s="239"/>
      <c r="D670" s="240"/>
      <c r="E670" s="175"/>
      <c r="F670" s="175"/>
      <c r="G670" s="175"/>
      <c r="H670" s="246"/>
      <c r="I670" s="249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  <c r="AA670" s="175"/>
      <c r="AB670" s="175"/>
      <c r="AC670" s="175"/>
      <c r="AD670" s="175"/>
      <c r="AE670" s="175"/>
    </row>
    <row r="671" ht="15.75" customHeight="1" spans="1:31">
      <c r="A671" s="175"/>
      <c r="B671" s="175"/>
      <c r="C671" s="239"/>
      <c r="D671" s="240"/>
      <c r="E671" s="175"/>
      <c r="F671" s="175"/>
      <c r="G671" s="175"/>
      <c r="H671" s="246"/>
      <c r="I671" s="249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  <c r="AA671" s="175"/>
      <c r="AB671" s="175"/>
      <c r="AC671" s="175"/>
      <c r="AD671" s="175"/>
      <c r="AE671" s="175"/>
    </row>
    <row r="672" ht="15.75" customHeight="1" spans="1:31">
      <c r="A672" s="175"/>
      <c r="B672" s="175"/>
      <c r="C672" s="239"/>
      <c r="D672" s="240"/>
      <c r="E672" s="175"/>
      <c r="F672" s="175"/>
      <c r="G672" s="175"/>
      <c r="H672" s="246"/>
      <c r="I672" s="249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  <c r="AA672" s="175"/>
      <c r="AB672" s="175"/>
      <c r="AC672" s="175"/>
      <c r="AD672" s="175"/>
      <c r="AE672" s="175"/>
    </row>
    <row r="673" ht="15.75" customHeight="1" spans="1:31">
      <c r="A673" s="175"/>
      <c r="B673" s="175"/>
      <c r="C673" s="239"/>
      <c r="D673" s="240"/>
      <c r="E673" s="175"/>
      <c r="F673" s="175"/>
      <c r="G673" s="175"/>
      <c r="H673" s="246"/>
      <c r="I673" s="249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  <c r="AA673" s="175"/>
      <c r="AB673" s="175"/>
      <c r="AC673" s="175"/>
      <c r="AD673" s="175"/>
      <c r="AE673" s="175"/>
    </row>
    <row r="674" ht="15.75" customHeight="1" spans="1:31">
      <c r="A674" s="175"/>
      <c r="B674" s="175"/>
      <c r="C674" s="239"/>
      <c r="D674" s="240"/>
      <c r="E674" s="175"/>
      <c r="F674" s="175"/>
      <c r="G674" s="175"/>
      <c r="H674" s="246"/>
      <c r="I674" s="249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  <c r="AA674" s="175"/>
      <c r="AB674" s="175"/>
      <c r="AC674" s="175"/>
      <c r="AD674" s="175"/>
      <c r="AE674" s="175"/>
    </row>
    <row r="675" ht="15.75" customHeight="1" spans="1:31">
      <c r="A675" s="175"/>
      <c r="B675" s="175"/>
      <c r="C675" s="239"/>
      <c r="D675" s="240"/>
      <c r="E675" s="175"/>
      <c r="F675" s="175"/>
      <c r="G675" s="175"/>
      <c r="H675" s="246"/>
      <c r="I675" s="249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  <c r="AA675" s="175"/>
      <c r="AB675" s="175"/>
      <c r="AC675" s="175"/>
      <c r="AD675" s="175"/>
      <c r="AE675" s="175"/>
    </row>
    <row r="676" ht="15.75" customHeight="1" spans="1:31">
      <c r="A676" s="175"/>
      <c r="B676" s="175"/>
      <c r="C676" s="239"/>
      <c r="D676" s="240"/>
      <c r="E676" s="175"/>
      <c r="F676" s="175"/>
      <c r="G676" s="175"/>
      <c r="H676" s="246"/>
      <c r="I676" s="249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  <c r="AA676" s="175"/>
      <c r="AB676" s="175"/>
      <c r="AC676" s="175"/>
      <c r="AD676" s="175"/>
      <c r="AE676" s="175"/>
    </row>
    <row r="677" ht="15.75" customHeight="1" spans="1:31">
      <c r="A677" s="175"/>
      <c r="B677" s="175"/>
      <c r="C677" s="239"/>
      <c r="D677" s="240"/>
      <c r="E677" s="175"/>
      <c r="F677" s="175"/>
      <c r="G677" s="175"/>
      <c r="H677" s="246"/>
      <c r="I677" s="249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  <c r="AA677" s="175"/>
      <c r="AB677" s="175"/>
      <c r="AC677" s="175"/>
      <c r="AD677" s="175"/>
      <c r="AE677" s="175"/>
    </row>
    <row r="678" ht="15.75" customHeight="1" spans="1:31">
      <c r="A678" s="175"/>
      <c r="B678" s="175"/>
      <c r="C678" s="239"/>
      <c r="D678" s="240"/>
      <c r="E678" s="175"/>
      <c r="F678" s="175"/>
      <c r="G678" s="175"/>
      <c r="H678" s="246"/>
      <c r="I678" s="249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  <c r="AA678" s="175"/>
      <c r="AB678" s="175"/>
      <c r="AC678" s="175"/>
      <c r="AD678" s="175"/>
      <c r="AE678" s="175"/>
    </row>
    <row r="679" ht="15.75" customHeight="1" spans="1:31">
      <c r="A679" s="175"/>
      <c r="B679" s="175"/>
      <c r="C679" s="239"/>
      <c r="D679" s="240"/>
      <c r="E679" s="175"/>
      <c r="F679" s="175"/>
      <c r="G679" s="175"/>
      <c r="H679" s="246"/>
      <c r="I679" s="249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  <c r="AA679" s="175"/>
      <c r="AB679" s="175"/>
      <c r="AC679" s="175"/>
      <c r="AD679" s="175"/>
      <c r="AE679" s="175"/>
    </row>
    <row r="680" ht="15.75" customHeight="1" spans="1:31">
      <c r="A680" s="175"/>
      <c r="B680" s="175"/>
      <c r="C680" s="239"/>
      <c r="D680" s="240"/>
      <c r="E680" s="175"/>
      <c r="F680" s="175"/>
      <c r="G680" s="175"/>
      <c r="H680" s="246"/>
      <c r="I680" s="249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  <c r="AA680" s="175"/>
      <c r="AB680" s="175"/>
      <c r="AC680" s="175"/>
      <c r="AD680" s="175"/>
      <c r="AE680" s="175"/>
    </row>
    <row r="681" ht="15.75" customHeight="1" spans="1:31">
      <c r="A681" s="175"/>
      <c r="B681" s="175"/>
      <c r="C681" s="239"/>
      <c r="D681" s="240"/>
      <c r="E681" s="175"/>
      <c r="F681" s="175"/>
      <c r="G681" s="175"/>
      <c r="H681" s="246"/>
      <c r="I681" s="249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  <c r="AA681" s="175"/>
      <c r="AB681" s="175"/>
      <c r="AC681" s="175"/>
      <c r="AD681" s="175"/>
      <c r="AE681" s="175"/>
    </row>
    <row r="682" ht="15.75" customHeight="1" spans="1:31">
      <c r="A682" s="175"/>
      <c r="B682" s="175"/>
      <c r="C682" s="239"/>
      <c r="D682" s="240"/>
      <c r="E682" s="175"/>
      <c r="F682" s="175"/>
      <c r="G682" s="175"/>
      <c r="H682" s="246"/>
      <c r="I682" s="249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  <c r="AA682" s="175"/>
      <c r="AB682" s="175"/>
      <c r="AC682" s="175"/>
      <c r="AD682" s="175"/>
      <c r="AE682" s="175"/>
    </row>
    <row r="683" ht="15.75" customHeight="1" spans="1:31">
      <c r="A683" s="175"/>
      <c r="B683" s="175"/>
      <c r="C683" s="239"/>
      <c r="D683" s="240"/>
      <c r="E683" s="175"/>
      <c r="F683" s="175"/>
      <c r="G683" s="175"/>
      <c r="H683" s="246"/>
      <c r="I683" s="249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  <c r="AA683" s="175"/>
      <c r="AB683" s="175"/>
      <c r="AC683" s="175"/>
      <c r="AD683" s="175"/>
      <c r="AE683" s="175"/>
    </row>
    <row r="684" ht="15.75" customHeight="1" spans="1:31">
      <c r="A684" s="175"/>
      <c r="B684" s="175"/>
      <c r="C684" s="239"/>
      <c r="D684" s="240"/>
      <c r="E684" s="175"/>
      <c r="F684" s="175"/>
      <c r="G684" s="175"/>
      <c r="H684" s="246"/>
      <c r="I684" s="249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  <c r="AA684" s="175"/>
      <c r="AB684" s="175"/>
      <c r="AC684" s="175"/>
      <c r="AD684" s="175"/>
      <c r="AE684" s="175"/>
    </row>
    <row r="685" ht="15.75" customHeight="1" spans="1:31">
      <c r="A685" s="175"/>
      <c r="B685" s="175"/>
      <c r="C685" s="239"/>
      <c r="D685" s="240"/>
      <c r="E685" s="175"/>
      <c r="F685" s="175"/>
      <c r="G685" s="175"/>
      <c r="H685" s="246"/>
      <c r="I685" s="249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  <c r="AA685" s="175"/>
      <c r="AB685" s="175"/>
      <c r="AC685" s="175"/>
      <c r="AD685" s="175"/>
      <c r="AE685" s="175"/>
    </row>
    <row r="686" ht="15.75" customHeight="1" spans="1:31">
      <c r="A686" s="175"/>
      <c r="B686" s="175"/>
      <c r="C686" s="239"/>
      <c r="D686" s="240"/>
      <c r="E686" s="175"/>
      <c r="F686" s="175"/>
      <c r="G686" s="175"/>
      <c r="H686" s="246"/>
      <c r="I686" s="249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  <c r="AA686" s="175"/>
      <c r="AB686" s="175"/>
      <c r="AC686" s="175"/>
      <c r="AD686" s="175"/>
      <c r="AE686" s="175"/>
    </row>
    <row r="687" ht="15.75" customHeight="1" spans="1:31">
      <c r="A687" s="175"/>
      <c r="B687" s="175"/>
      <c r="C687" s="239"/>
      <c r="D687" s="240"/>
      <c r="E687" s="175"/>
      <c r="F687" s="175"/>
      <c r="G687" s="175"/>
      <c r="H687" s="246"/>
      <c r="I687" s="249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  <c r="AA687" s="175"/>
      <c r="AB687" s="175"/>
      <c r="AC687" s="175"/>
      <c r="AD687" s="175"/>
      <c r="AE687" s="175"/>
    </row>
    <row r="688" ht="15.75" customHeight="1" spans="1:31">
      <c r="A688" s="175"/>
      <c r="B688" s="175"/>
      <c r="C688" s="239"/>
      <c r="D688" s="240"/>
      <c r="E688" s="175"/>
      <c r="F688" s="175"/>
      <c r="G688" s="175"/>
      <c r="H688" s="246"/>
      <c r="I688" s="249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  <c r="AA688" s="175"/>
      <c r="AB688" s="175"/>
      <c r="AC688" s="175"/>
      <c r="AD688" s="175"/>
      <c r="AE688" s="175"/>
    </row>
    <row r="689" ht="15.75" customHeight="1" spans="1:31">
      <c r="A689" s="175"/>
      <c r="B689" s="175"/>
      <c r="C689" s="239"/>
      <c r="D689" s="240"/>
      <c r="E689" s="175"/>
      <c r="F689" s="175"/>
      <c r="G689" s="175"/>
      <c r="H689" s="246"/>
      <c r="I689" s="249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  <c r="AA689" s="175"/>
      <c r="AB689" s="175"/>
      <c r="AC689" s="175"/>
      <c r="AD689" s="175"/>
      <c r="AE689" s="175"/>
    </row>
    <row r="690" ht="15.75" customHeight="1" spans="1:31">
      <c r="A690" s="175"/>
      <c r="B690" s="175"/>
      <c r="C690" s="239"/>
      <c r="D690" s="240"/>
      <c r="E690" s="175"/>
      <c r="F690" s="175"/>
      <c r="G690" s="175"/>
      <c r="H690" s="246"/>
      <c r="I690" s="249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  <c r="AA690" s="175"/>
      <c r="AB690" s="175"/>
      <c r="AC690" s="175"/>
      <c r="AD690" s="175"/>
      <c r="AE690" s="175"/>
    </row>
    <row r="691" ht="15.75" customHeight="1" spans="1:31">
      <c r="A691" s="175"/>
      <c r="B691" s="175"/>
      <c r="C691" s="239"/>
      <c r="D691" s="240"/>
      <c r="E691" s="175"/>
      <c r="F691" s="175"/>
      <c r="G691" s="175"/>
      <c r="H691" s="246"/>
      <c r="I691" s="249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  <c r="AA691" s="175"/>
      <c r="AB691" s="175"/>
      <c r="AC691" s="175"/>
      <c r="AD691" s="175"/>
      <c r="AE691" s="175"/>
    </row>
    <row r="692" ht="15.75" customHeight="1" spans="1:31">
      <c r="A692" s="175"/>
      <c r="B692" s="175"/>
      <c r="C692" s="239"/>
      <c r="D692" s="240"/>
      <c r="E692" s="175"/>
      <c r="F692" s="175"/>
      <c r="G692" s="175"/>
      <c r="H692" s="246"/>
      <c r="I692" s="249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  <c r="AA692" s="175"/>
      <c r="AB692" s="175"/>
      <c r="AC692" s="175"/>
      <c r="AD692" s="175"/>
      <c r="AE692" s="175"/>
    </row>
    <row r="693" ht="15.75" customHeight="1" spans="1:31">
      <c r="A693" s="175"/>
      <c r="B693" s="175"/>
      <c r="C693" s="239"/>
      <c r="D693" s="240"/>
      <c r="E693" s="175"/>
      <c r="F693" s="175"/>
      <c r="G693" s="175"/>
      <c r="H693" s="246"/>
      <c r="I693" s="249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  <c r="AA693" s="175"/>
      <c r="AB693" s="175"/>
      <c r="AC693" s="175"/>
      <c r="AD693" s="175"/>
      <c r="AE693" s="175"/>
    </row>
    <row r="694" ht="15.75" customHeight="1" spans="1:31">
      <c r="A694" s="175"/>
      <c r="B694" s="175"/>
      <c r="C694" s="239"/>
      <c r="D694" s="240"/>
      <c r="E694" s="175"/>
      <c r="F694" s="175"/>
      <c r="G694" s="175"/>
      <c r="H694" s="246"/>
      <c r="I694" s="249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  <c r="AA694" s="175"/>
      <c r="AB694" s="175"/>
      <c r="AC694" s="175"/>
      <c r="AD694" s="175"/>
      <c r="AE694" s="175"/>
    </row>
    <row r="695" ht="15.75" customHeight="1" spans="1:31">
      <c r="A695" s="175"/>
      <c r="B695" s="175"/>
      <c r="C695" s="239"/>
      <c r="D695" s="240"/>
      <c r="E695" s="175"/>
      <c r="F695" s="175"/>
      <c r="G695" s="175"/>
      <c r="H695" s="246"/>
      <c r="I695" s="249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  <c r="AA695" s="175"/>
      <c r="AB695" s="175"/>
      <c r="AC695" s="175"/>
      <c r="AD695" s="175"/>
      <c r="AE695" s="175"/>
    </row>
    <row r="696" ht="15.75" customHeight="1" spans="1:31">
      <c r="A696" s="175"/>
      <c r="B696" s="175"/>
      <c r="C696" s="239"/>
      <c r="D696" s="240"/>
      <c r="E696" s="175"/>
      <c r="F696" s="175"/>
      <c r="G696" s="175"/>
      <c r="H696" s="246"/>
      <c r="I696" s="249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  <c r="AA696" s="175"/>
      <c r="AB696" s="175"/>
      <c r="AC696" s="175"/>
      <c r="AD696" s="175"/>
      <c r="AE696" s="175"/>
    </row>
    <row r="697" ht="15.75" customHeight="1" spans="1:31">
      <c r="A697" s="175"/>
      <c r="B697" s="175"/>
      <c r="C697" s="239"/>
      <c r="D697" s="240"/>
      <c r="E697" s="175"/>
      <c r="F697" s="175"/>
      <c r="G697" s="175"/>
      <c r="H697" s="246"/>
      <c r="I697" s="249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  <c r="AA697" s="175"/>
      <c r="AB697" s="175"/>
      <c r="AC697" s="175"/>
      <c r="AD697" s="175"/>
      <c r="AE697" s="175"/>
    </row>
    <row r="698" ht="15.75" customHeight="1" spans="1:31">
      <c r="A698" s="175"/>
      <c r="B698" s="175"/>
      <c r="C698" s="239"/>
      <c r="D698" s="240"/>
      <c r="E698" s="175"/>
      <c r="F698" s="175"/>
      <c r="G698" s="175"/>
      <c r="H698" s="246"/>
      <c r="I698" s="249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  <c r="AA698" s="175"/>
      <c r="AB698" s="175"/>
      <c r="AC698" s="175"/>
      <c r="AD698" s="175"/>
      <c r="AE698" s="175"/>
    </row>
    <row r="699" ht="15.75" customHeight="1" spans="1:31">
      <c r="A699" s="175"/>
      <c r="B699" s="175"/>
      <c r="C699" s="239"/>
      <c r="D699" s="240"/>
      <c r="E699" s="175"/>
      <c r="F699" s="175"/>
      <c r="G699" s="175"/>
      <c r="H699" s="246"/>
      <c r="I699" s="249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  <c r="AA699" s="175"/>
      <c r="AB699" s="175"/>
      <c r="AC699" s="175"/>
      <c r="AD699" s="175"/>
      <c r="AE699" s="175"/>
    </row>
    <row r="700" ht="15.75" customHeight="1" spans="1:31">
      <c r="A700" s="175"/>
      <c r="B700" s="175"/>
      <c r="C700" s="239"/>
      <c r="D700" s="240"/>
      <c r="E700" s="175"/>
      <c r="F700" s="175"/>
      <c r="G700" s="175"/>
      <c r="H700" s="246"/>
      <c r="I700" s="249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</row>
    <row r="701" ht="15.75" customHeight="1" spans="1:31">
      <c r="A701" s="175"/>
      <c r="B701" s="175"/>
      <c r="C701" s="239"/>
      <c r="D701" s="240"/>
      <c r="E701" s="175"/>
      <c r="F701" s="175"/>
      <c r="G701" s="175"/>
      <c r="H701" s="246"/>
      <c r="I701" s="249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  <c r="AB701" s="175"/>
      <c r="AC701" s="175"/>
      <c r="AD701" s="175"/>
      <c r="AE701" s="175"/>
    </row>
    <row r="702" ht="15.75" customHeight="1" spans="1:31">
      <c r="A702" s="175"/>
      <c r="B702" s="175"/>
      <c r="C702" s="239"/>
      <c r="D702" s="240"/>
      <c r="E702" s="175"/>
      <c r="F702" s="175"/>
      <c r="G702" s="175"/>
      <c r="H702" s="246"/>
      <c r="I702" s="249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  <c r="AB702" s="175"/>
      <c r="AC702" s="175"/>
      <c r="AD702" s="175"/>
      <c r="AE702" s="175"/>
    </row>
    <row r="703" ht="15.75" customHeight="1" spans="1:31">
      <c r="A703" s="175"/>
      <c r="B703" s="175"/>
      <c r="C703" s="239"/>
      <c r="D703" s="240"/>
      <c r="E703" s="175"/>
      <c r="F703" s="175"/>
      <c r="G703" s="175"/>
      <c r="H703" s="246"/>
      <c r="I703" s="249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  <c r="AB703" s="175"/>
      <c r="AC703" s="175"/>
      <c r="AD703" s="175"/>
      <c r="AE703" s="175"/>
    </row>
    <row r="704" ht="15.75" customHeight="1" spans="1:31">
      <c r="A704" s="175"/>
      <c r="B704" s="175"/>
      <c r="C704" s="239"/>
      <c r="D704" s="240"/>
      <c r="E704" s="175"/>
      <c r="F704" s="175"/>
      <c r="G704" s="175"/>
      <c r="H704" s="246"/>
      <c r="I704" s="249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  <c r="AA704" s="175"/>
      <c r="AB704" s="175"/>
      <c r="AC704" s="175"/>
      <c r="AD704" s="175"/>
      <c r="AE704" s="175"/>
    </row>
    <row r="705" ht="15.75" customHeight="1" spans="1:31">
      <c r="A705" s="175"/>
      <c r="B705" s="175"/>
      <c r="C705" s="239"/>
      <c r="D705" s="240"/>
      <c r="E705" s="175"/>
      <c r="F705" s="175"/>
      <c r="G705" s="175"/>
      <c r="H705" s="246"/>
      <c r="I705" s="249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  <c r="AA705" s="175"/>
      <c r="AB705" s="175"/>
      <c r="AC705" s="175"/>
      <c r="AD705" s="175"/>
      <c r="AE705" s="175"/>
    </row>
    <row r="706" ht="15.75" customHeight="1" spans="1:31">
      <c r="A706" s="175"/>
      <c r="B706" s="175"/>
      <c r="C706" s="239"/>
      <c r="D706" s="240"/>
      <c r="E706" s="175"/>
      <c r="F706" s="175"/>
      <c r="G706" s="175"/>
      <c r="H706" s="246"/>
      <c r="I706" s="249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  <c r="AA706" s="175"/>
      <c r="AB706" s="175"/>
      <c r="AC706" s="175"/>
      <c r="AD706" s="175"/>
      <c r="AE706" s="175"/>
    </row>
    <row r="707" ht="15.75" customHeight="1" spans="1:31">
      <c r="A707" s="175"/>
      <c r="B707" s="175"/>
      <c r="C707" s="239"/>
      <c r="D707" s="240"/>
      <c r="E707" s="175"/>
      <c r="F707" s="175"/>
      <c r="G707" s="175"/>
      <c r="H707" s="246"/>
      <c r="I707" s="249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  <c r="AA707" s="175"/>
      <c r="AB707" s="175"/>
      <c r="AC707" s="175"/>
      <c r="AD707" s="175"/>
      <c r="AE707" s="175"/>
    </row>
    <row r="708" ht="15.75" customHeight="1" spans="1:31">
      <c r="A708" s="175"/>
      <c r="B708" s="175"/>
      <c r="C708" s="239"/>
      <c r="D708" s="240"/>
      <c r="E708" s="175"/>
      <c r="F708" s="175"/>
      <c r="G708" s="175"/>
      <c r="H708" s="246"/>
      <c r="I708" s="249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  <c r="AA708" s="175"/>
      <c r="AB708" s="175"/>
      <c r="AC708" s="175"/>
      <c r="AD708" s="175"/>
      <c r="AE708" s="175"/>
    </row>
    <row r="709" ht="15.75" customHeight="1" spans="1:31">
      <c r="A709" s="175"/>
      <c r="B709" s="175"/>
      <c r="C709" s="239"/>
      <c r="D709" s="240"/>
      <c r="E709" s="175"/>
      <c r="F709" s="175"/>
      <c r="G709" s="175"/>
      <c r="H709" s="246"/>
      <c r="I709" s="249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  <c r="AA709" s="175"/>
      <c r="AB709" s="175"/>
      <c r="AC709" s="175"/>
      <c r="AD709" s="175"/>
      <c r="AE709" s="175"/>
    </row>
    <row r="710" ht="15.75" customHeight="1" spans="1:31">
      <c r="A710" s="175"/>
      <c r="B710" s="175"/>
      <c r="C710" s="239"/>
      <c r="D710" s="240"/>
      <c r="E710" s="175"/>
      <c r="F710" s="175"/>
      <c r="G710" s="175"/>
      <c r="H710" s="246"/>
      <c r="I710" s="249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  <c r="AA710" s="175"/>
      <c r="AB710" s="175"/>
      <c r="AC710" s="175"/>
      <c r="AD710" s="175"/>
      <c r="AE710" s="175"/>
    </row>
    <row r="711" ht="15.75" customHeight="1" spans="1:31">
      <c r="A711" s="175"/>
      <c r="B711" s="175"/>
      <c r="C711" s="239"/>
      <c r="D711" s="240"/>
      <c r="E711" s="175"/>
      <c r="F711" s="175"/>
      <c r="G711" s="175"/>
      <c r="H711" s="246"/>
      <c r="I711" s="249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  <c r="AA711" s="175"/>
      <c r="AB711" s="175"/>
      <c r="AC711" s="175"/>
      <c r="AD711" s="175"/>
      <c r="AE711" s="175"/>
    </row>
    <row r="712" ht="15.75" customHeight="1" spans="1:31">
      <c r="A712" s="175"/>
      <c r="B712" s="175"/>
      <c r="C712" s="239"/>
      <c r="D712" s="240"/>
      <c r="E712" s="175"/>
      <c r="F712" s="175"/>
      <c r="G712" s="175"/>
      <c r="H712" s="246"/>
      <c r="I712" s="249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  <c r="AA712" s="175"/>
      <c r="AB712" s="175"/>
      <c r="AC712" s="175"/>
      <c r="AD712" s="175"/>
      <c r="AE712" s="175"/>
    </row>
    <row r="713" ht="15.75" customHeight="1" spans="1:31">
      <c r="A713" s="175"/>
      <c r="B713" s="175"/>
      <c r="C713" s="239"/>
      <c r="D713" s="240"/>
      <c r="E713" s="175"/>
      <c r="F713" s="175"/>
      <c r="G713" s="175"/>
      <c r="H713" s="246"/>
      <c r="I713" s="249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  <c r="AA713" s="175"/>
      <c r="AB713" s="175"/>
      <c r="AC713" s="175"/>
      <c r="AD713" s="175"/>
      <c r="AE713" s="175"/>
    </row>
    <row r="714" ht="15.75" customHeight="1" spans="1:31">
      <c r="A714" s="175"/>
      <c r="B714" s="175"/>
      <c r="C714" s="239"/>
      <c r="D714" s="240"/>
      <c r="E714" s="175"/>
      <c r="F714" s="175"/>
      <c r="G714" s="175"/>
      <c r="H714" s="246"/>
      <c r="I714" s="249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  <c r="AA714" s="175"/>
      <c r="AB714" s="175"/>
      <c r="AC714" s="175"/>
      <c r="AD714" s="175"/>
      <c r="AE714" s="175"/>
    </row>
    <row r="715" ht="15.75" customHeight="1" spans="1:31">
      <c r="A715" s="175"/>
      <c r="B715" s="175"/>
      <c r="C715" s="239"/>
      <c r="D715" s="240"/>
      <c r="E715" s="175"/>
      <c r="F715" s="175"/>
      <c r="G715" s="175"/>
      <c r="H715" s="246"/>
      <c r="I715" s="249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  <c r="AA715" s="175"/>
      <c r="AB715" s="175"/>
      <c r="AC715" s="175"/>
      <c r="AD715" s="175"/>
      <c r="AE715" s="175"/>
    </row>
    <row r="716" ht="15.75" customHeight="1" spans="1:31">
      <c r="A716" s="175"/>
      <c r="B716" s="175"/>
      <c r="C716" s="239"/>
      <c r="D716" s="240"/>
      <c r="E716" s="175"/>
      <c r="F716" s="175"/>
      <c r="G716" s="175"/>
      <c r="H716" s="246"/>
      <c r="I716" s="249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  <c r="AA716" s="175"/>
      <c r="AB716" s="175"/>
      <c r="AC716" s="175"/>
      <c r="AD716" s="175"/>
      <c r="AE716" s="175"/>
    </row>
    <row r="717" ht="15.75" customHeight="1" spans="1:31">
      <c r="A717" s="175"/>
      <c r="B717" s="175"/>
      <c r="C717" s="239"/>
      <c r="D717" s="240"/>
      <c r="E717" s="175"/>
      <c r="F717" s="175"/>
      <c r="G717" s="175"/>
      <c r="H717" s="246"/>
      <c r="I717" s="249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  <c r="AA717" s="175"/>
      <c r="AB717" s="175"/>
      <c r="AC717" s="175"/>
      <c r="AD717" s="175"/>
      <c r="AE717" s="175"/>
    </row>
    <row r="718" ht="15.75" customHeight="1" spans="1:31">
      <c r="A718" s="175"/>
      <c r="B718" s="175"/>
      <c r="C718" s="239"/>
      <c r="D718" s="240"/>
      <c r="E718" s="175"/>
      <c r="F718" s="175"/>
      <c r="G718" s="175"/>
      <c r="H718" s="246"/>
      <c r="I718" s="249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  <c r="AA718" s="175"/>
      <c r="AB718" s="175"/>
      <c r="AC718" s="175"/>
      <c r="AD718" s="175"/>
      <c r="AE718" s="175"/>
    </row>
    <row r="719" ht="15.75" customHeight="1" spans="1:31">
      <c r="A719" s="175"/>
      <c r="B719" s="175"/>
      <c r="C719" s="239"/>
      <c r="D719" s="240"/>
      <c r="E719" s="175"/>
      <c r="F719" s="175"/>
      <c r="G719" s="175"/>
      <c r="H719" s="246"/>
      <c r="I719" s="249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  <c r="AA719" s="175"/>
      <c r="AB719" s="175"/>
      <c r="AC719" s="175"/>
      <c r="AD719" s="175"/>
      <c r="AE719" s="175"/>
    </row>
    <row r="720" ht="15.75" customHeight="1" spans="1:31">
      <c r="A720" s="175"/>
      <c r="B720" s="175"/>
      <c r="C720" s="239"/>
      <c r="D720" s="240"/>
      <c r="E720" s="175"/>
      <c r="F720" s="175"/>
      <c r="G720" s="175"/>
      <c r="H720" s="246"/>
      <c r="I720" s="249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  <c r="AA720" s="175"/>
      <c r="AB720" s="175"/>
      <c r="AC720" s="175"/>
      <c r="AD720" s="175"/>
      <c r="AE720" s="175"/>
    </row>
    <row r="721" ht="15.75" customHeight="1" spans="1:31">
      <c r="A721" s="175"/>
      <c r="B721" s="175"/>
      <c r="C721" s="239"/>
      <c r="D721" s="240"/>
      <c r="E721" s="175"/>
      <c r="F721" s="175"/>
      <c r="G721" s="175"/>
      <c r="H721" s="246"/>
      <c r="I721" s="249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  <c r="AA721" s="175"/>
      <c r="AB721" s="175"/>
      <c r="AC721" s="175"/>
      <c r="AD721" s="175"/>
      <c r="AE721" s="175"/>
    </row>
    <row r="722" ht="15.75" customHeight="1" spans="1:31">
      <c r="A722" s="175"/>
      <c r="B722" s="175"/>
      <c r="C722" s="239"/>
      <c r="D722" s="240"/>
      <c r="E722" s="175"/>
      <c r="F722" s="175"/>
      <c r="G722" s="175"/>
      <c r="H722" s="246"/>
      <c r="I722" s="249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  <c r="AA722" s="175"/>
      <c r="AB722" s="175"/>
      <c r="AC722" s="175"/>
      <c r="AD722" s="175"/>
      <c r="AE722" s="175"/>
    </row>
    <row r="723" ht="15.75" customHeight="1" spans="1:31">
      <c r="A723" s="175"/>
      <c r="B723" s="175"/>
      <c r="C723" s="239"/>
      <c r="D723" s="240"/>
      <c r="E723" s="175"/>
      <c r="F723" s="175"/>
      <c r="G723" s="175"/>
      <c r="H723" s="246"/>
      <c r="I723" s="249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  <c r="AA723" s="175"/>
      <c r="AB723" s="175"/>
      <c r="AC723" s="175"/>
      <c r="AD723" s="175"/>
      <c r="AE723" s="175"/>
    </row>
    <row r="724" ht="15.75" customHeight="1" spans="1:31">
      <c r="A724" s="175"/>
      <c r="B724" s="175"/>
      <c r="C724" s="239"/>
      <c r="D724" s="240"/>
      <c r="E724" s="175"/>
      <c r="F724" s="175"/>
      <c r="G724" s="175"/>
      <c r="H724" s="246"/>
      <c r="I724" s="249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  <c r="AA724" s="175"/>
      <c r="AB724" s="175"/>
      <c r="AC724" s="175"/>
      <c r="AD724" s="175"/>
      <c r="AE724" s="175"/>
    </row>
    <row r="725" ht="15.75" customHeight="1" spans="1:31">
      <c r="A725" s="175"/>
      <c r="B725" s="175"/>
      <c r="C725" s="239"/>
      <c r="D725" s="240"/>
      <c r="E725" s="175"/>
      <c r="F725" s="175"/>
      <c r="G725" s="175"/>
      <c r="H725" s="246"/>
      <c r="I725" s="249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  <c r="AA725" s="175"/>
      <c r="AB725" s="175"/>
      <c r="AC725" s="175"/>
      <c r="AD725" s="175"/>
      <c r="AE725" s="175"/>
    </row>
    <row r="726" ht="15.75" customHeight="1" spans="1:31">
      <c r="A726" s="175"/>
      <c r="B726" s="175"/>
      <c r="C726" s="239"/>
      <c r="D726" s="240"/>
      <c r="E726" s="175"/>
      <c r="F726" s="175"/>
      <c r="G726" s="175"/>
      <c r="H726" s="246"/>
      <c r="I726" s="249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  <c r="AA726" s="175"/>
      <c r="AB726" s="175"/>
      <c r="AC726" s="175"/>
      <c r="AD726" s="175"/>
      <c r="AE726" s="175"/>
    </row>
    <row r="727" ht="15.75" customHeight="1" spans="1:31">
      <c r="A727" s="175"/>
      <c r="B727" s="175"/>
      <c r="C727" s="239"/>
      <c r="D727" s="240"/>
      <c r="E727" s="175"/>
      <c r="F727" s="175"/>
      <c r="G727" s="175"/>
      <c r="H727" s="246"/>
      <c r="I727" s="249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  <c r="AA727" s="175"/>
      <c r="AB727" s="175"/>
      <c r="AC727" s="175"/>
      <c r="AD727" s="175"/>
      <c r="AE727" s="175"/>
    </row>
    <row r="728" ht="15.75" customHeight="1" spans="1:31">
      <c r="A728" s="175"/>
      <c r="B728" s="175"/>
      <c r="C728" s="239"/>
      <c r="D728" s="240"/>
      <c r="E728" s="175"/>
      <c r="F728" s="175"/>
      <c r="G728" s="175"/>
      <c r="H728" s="246"/>
      <c r="I728" s="249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  <c r="AA728" s="175"/>
      <c r="AB728" s="175"/>
      <c r="AC728" s="175"/>
      <c r="AD728" s="175"/>
      <c r="AE728" s="175"/>
    </row>
    <row r="729" ht="15.75" customHeight="1" spans="1:31">
      <c r="A729" s="175"/>
      <c r="B729" s="175"/>
      <c r="C729" s="239"/>
      <c r="D729" s="240"/>
      <c r="E729" s="175"/>
      <c r="F729" s="175"/>
      <c r="G729" s="175"/>
      <c r="H729" s="246"/>
      <c r="I729" s="249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  <c r="AA729" s="175"/>
      <c r="AB729" s="175"/>
      <c r="AC729" s="175"/>
      <c r="AD729" s="175"/>
      <c r="AE729" s="175"/>
    </row>
    <row r="730" ht="15.75" customHeight="1" spans="1:31">
      <c r="A730" s="175"/>
      <c r="B730" s="175"/>
      <c r="C730" s="239"/>
      <c r="D730" s="240"/>
      <c r="E730" s="175"/>
      <c r="F730" s="175"/>
      <c r="G730" s="175"/>
      <c r="H730" s="246"/>
      <c r="I730" s="249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  <c r="AA730" s="175"/>
      <c r="AB730" s="175"/>
      <c r="AC730" s="175"/>
      <c r="AD730" s="175"/>
      <c r="AE730" s="175"/>
    </row>
    <row r="731" ht="15.75" customHeight="1" spans="1:31">
      <c r="A731" s="175"/>
      <c r="B731" s="175"/>
      <c r="C731" s="239"/>
      <c r="D731" s="240"/>
      <c r="E731" s="175"/>
      <c r="F731" s="175"/>
      <c r="G731" s="175"/>
      <c r="H731" s="246"/>
      <c r="I731" s="249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  <c r="AA731" s="175"/>
      <c r="AB731" s="175"/>
      <c r="AC731" s="175"/>
      <c r="AD731" s="175"/>
      <c r="AE731" s="175"/>
    </row>
    <row r="732" ht="15.75" customHeight="1" spans="1:31">
      <c r="A732" s="175"/>
      <c r="B732" s="175"/>
      <c r="C732" s="239"/>
      <c r="D732" s="240"/>
      <c r="E732" s="175"/>
      <c r="F732" s="175"/>
      <c r="G732" s="175"/>
      <c r="H732" s="246"/>
      <c r="I732" s="249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  <c r="AA732" s="175"/>
      <c r="AB732" s="175"/>
      <c r="AC732" s="175"/>
      <c r="AD732" s="175"/>
      <c r="AE732" s="175"/>
    </row>
    <row r="733" ht="15.75" customHeight="1" spans="1:31">
      <c r="A733" s="175"/>
      <c r="B733" s="175"/>
      <c r="C733" s="239"/>
      <c r="D733" s="240"/>
      <c r="E733" s="175"/>
      <c r="F733" s="175"/>
      <c r="G733" s="175"/>
      <c r="H733" s="246"/>
      <c r="I733" s="249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  <c r="AA733" s="175"/>
      <c r="AB733" s="175"/>
      <c r="AC733" s="175"/>
      <c r="AD733" s="175"/>
      <c r="AE733" s="175"/>
    </row>
    <row r="734" ht="15.75" customHeight="1" spans="1:31">
      <c r="A734" s="175"/>
      <c r="B734" s="175"/>
      <c r="C734" s="239"/>
      <c r="D734" s="240"/>
      <c r="E734" s="175"/>
      <c r="F734" s="175"/>
      <c r="G734" s="175"/>
      <c r="H734" s="246"/>
      <c r="I734" s="249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  <c r="AA734" s="175"/>
      <c r="AB734" s="175"/>
      <c r="AC734" s="175"/>
      <c r="AD734" s="175"/>
      <c r="AE734" s="175"/>
    </row>
    <row r="735" ht="15.75" customHeight="1" spans="1:31">
      <c r="A735" s="175"/>
      <c r="B735" s="175"/>
      <c r="C735" s="239"/>
      <c r="D735" s="240"/>
      <c r="E735" s="175"/>
      <c r="F735" s="175"/>
      <c r="G735" s="175"/>
      <c r="H735" s="246"/>
      <c r="I735" s="249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  <c r="AA735" s="175"/>
      <c r="AB735" s="175"/>
      <c r="AC735" s="175"/>
      <c r="AD735" s="175"/>
      <c r="AE735" s="175"/>
    </row>
    <row r="736" ht="15.75" customHeight="1" spans="1:31">
      <c r="A736" s="175"/>
      <c r="B736" s="175"/>
      <c r="C736" s="239"/>
      <c r="D736" s="240"/>
      <c r="E736" s="175"/>
      <c r="F736" s="175"/>
      <c r="G736" s="175"/>
      <c r="H736" s="246"/>
      <c r="I736" s="249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  <c r="AA736" s="175"/>
      <c r="AB736" s="175"/>
      <c r="AC736" s="175"/>
      <c r="AD736" s="175"/>
      <c r="AE736" s="175"/>
    </row>
    <row r="737" ht="15.75" customHeight="1" spans="1:31">
      <c r="A737" s="175"/>
      <c r="B737" s="175"/>
      <c r="C737" s="239"/>
      <c r="D737" s="240"/>
      <c r="E737" s="175"/>
      <c r="F737" s="175"/>
      <c r="G737" s="175"/>
      <c r="H737" s="246"/>
      <c r="I737" s="249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  <c r="AA737" s="175"/>
      <c r="AB737" s="175"/>
      <c r="AC737" s="175"/>
      <c r="AD737" s="175"/>
      <c r="AE737" s="175"/>
    </row>
    <row r="738" ht="15.75" customHeight="1" spans="1:31">
      <c r="A738" s="175"/>
      <c r="B738" s="175"/>
      <c r="C738" s="239"/>
      <c r="D738" s="240"/>
      <c r="E738" s="175"/>
      <c r="F738" s="175"/>
      <c r="G738" s="175"/>
      <c r="H738" s="246"/>
      <c r="I738" s="249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  <c r="AA738" s="175"/>
      <c r="AB738" s="175"/>
      <c r="AC738" s="175"/>
      <c r="AD738" s="175"/>
      <c r="AE738" s="175"/>
    </row>
    <row r="739" ht="15.75" customHeight="1" spans="1:31">
      <c r="A739" s="175"/>
      <c r="B739" s="175"/>
      <c r="C739" s="239"/>
      <c r="D739" s="240"/>
      <c r="E739" s="175"/>
      <c r="F739" s="175"/>
      <c r="G739" s="175"/>
      <c r="H739" s="246"/>
      <c r="I739" s="249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  <c r="AA739" s="175"/>
      <c r="AB739" s="175"/>
      <c r="AC739" s="175"/>
      <c r="AD739" s="175"/>
      <c r="AE739" s="175"/>
    </row>
    <row r="740" ht="15.75" customHeight="1" spans="1:31">
      <c r="A740" s="175"/>
      <c r="B740" s="175"/>
      <c r="C740" s="239"/>
      <c r="D740" s="240"/>
      <c r="E740" s="175"/>
      <c r="F740" s="175"/>
      <c r="G740" s="175"/>
      <c r="H740" s="246"/>
      <c r="I740" s="249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  <c r="AA740" s="175"/>
      <c r="AB740" s="175"/>
      <c r="AC740" s="175"/>
      <c r="AD740" s="175"/>
      <c r="AE740" s="175"/>
    </row>
    <row r="741" ht="15.75" customHeight="1" spans="1:31">
      <c r="A741" s="175"/>
      <c r="B741" s="175"/>
      <c r="C741" s="239"/>
      <c r="D741" s="240"/>
      <c r="E741" s="175"/>
      <c r="F741" s="175"/>
      <c r="G741" s="175"/>
      <c r="H741" s="246"/>
      <c r="I741" s="249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  <c r="AA741" s="175"/>
      <c r="AB741" s="175"/>
      <c r="AC741" s="175"/>
      <c r="AD741" s="175"/>
      <c r="AE741" s="175"/>
    </row>
    <row r="742" ht="15.75" customHeight="1" spans="1:31">
      <c r="A742" s="175"/>
      <c r="B742" s="175"/>
      <c r="C742" s="239"/>
      <c r="D742" s="240"/>
      <c r="E742" s="175"/>
      <c r="F742" s="175"/>
      <c r="G742" s="175"/>
      <c r="H742" s="246"/>
      <c r="I742" s="249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  <c r="AA742" s="175"/>
      <c r="AB742" s="175"/>
      <c r="AC742" s="175"/>
      <c r="AD742" s="175"/>
      <c r="AE742" s="175"/>
    </row>
    <row r="743" ht="15.75" customHeight="1" spans="1:31">
      <c r="A743" s="175"/>
      <c r="B743" s="175"/>
      <c r="C743" s="239"/>
      <c r="D743" s="240"/>
      <c r="E743" s="175"/>
      <c r="F743" s="175"/>
      <c r="G743" s="175"/>
      <c r="H743" s="246"/>
      <c r="I743" s="249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  <c r="AA743" s="175"/>
      <c r="AB743" s="175"/>
      <c r="AC743" s="175"/>
      <c r="AD743" s="175"/>
      <c r="AE743" s="175"/>
    </row>
    <row r="744" ht="15.75" customHeight="1" spans="1:31">
      <c r="A744" s="175"/>
      <c r="B744" s="175"/>
      <c r="C744" s="239"/>
      <c r="D744" s="240"/>
      <c r="E744" s="175"/>
      <c r="F744" s="175"/>
      <c r="G744" s="175"/>
      <c r="H744" s="246"/>
      <c r="I744" s="249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  <c r="AA744" s="175"/>
      <c r="AB744" s="175"/>
      <c r="AC744" s="175"/>
      <c r="AD744" s="175"/>
      <c r="AE744" s="175"/>
    </row>
    <row r="745" ht="15.75" customHeight="1" spans="1:31">
      <c r="A745" s="175"/>
      <c r="B745" s="175"/>
      <c r="C745" s="239"/>
      <c r="D745" s="240"/>
      <c r="E745" s="175"/>
      <c r="F745" s="175"/>
      <c r="G745" s="175"/>
      <c r="H745" s="246"/>
      <c r="I745" s="249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  <c r="AA745" s="175"/>
      <c r="AB745" s="175"/>
      <c r="AC745" s="175"/>
      <c r="AD745" s="175"/>
      <c r="AE745" s="175"/>
    </row>
    <row r="746" ht="15.75" customHeight="1" spans="1:31">
      <c r="A746" s="175"/>
      <c r="B746" s="175"/>
      <c r="C746" s="239"/>
      <c r="D746" s="240"/>
      <c r="E746" s="175"/>
      <c r="F746" s="175"/>
      <c r="G746" s="175"/>
      <c r="H746" s="246"/>
      <c r="I746" s="249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  <c r="AA746" s="175"/>
      <c r="AB746" s="175"/>
      <c r="AC746" s="175"/>
      <c r="AD746" s="175"/>
      <c r="AE746" s="175"/>
    </row>
    <row r="747" ht="15.75" customHeight="1" spans="1:31">
      <c r="A747" s="175"/>
      <c r="B747" s="175"/>
      <c r="C747" s="239"/>
      <c r="D747" s="240"/>
      <c r="E747" s="175"/>
      <c r="F747" s="175"/>
      <c r="G747" s="175"/>
      <c r="H747" s="246"/>
      <c r="I747" s="249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  <c r="AA747" s="175"/>
      <c r="AB747" s="175"/>
      <c r="AC747" s="175"/>
      <c r="AD747" s="175"/>
      <c r="AE747" s="175"/>
    </row>
    <row r="748" ht="15.75" customHeight="1" spans="1:31">
      <c r="A748" s="175"/>
      <c r="B748" s="175"/>
      <c r="C748" s="239"/>
      <c r="D748" s="240"/>
      <c r="E748" s="175"/>
      <c r="F748" s="175"/>
      <c r="G748" s="175"/>
      <c r="H748" s="246"/>
      <c r="I748" s="249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  <c r="AA748" s="175"/>
      <c r="AB748" s="175"/>
      <c r="AC748" s="175"/>
      <c r="AD748" s="175"/>
      <c r="AE748" s="175"/>
    </row>
    <row r="749" ht="15.75" customHeight="1" spans="1:31">
      <c r="A749" s="175"/>
      <c r="B749" s="175"/>
      <c r="C749" s="239"/>
      <c r="D749" s="240"/>
      <c r="E749" s="175"/>
      <c r="F749" s="175"/>
      <c r="G749" s="175"/>
      <c r="H749" s="246"/>
      <c r="I749" s="249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  <c r="AA749" s="175"/>
      <c r="AB749" s="175"/>
      <c r="AC749" s="175"/>
      <c r="AD749" s="175"/>
      <c r="AE749" s="175"/>
    </row>
    <row r="750" ht="15.75" customHeight="1" spans="1:31">
      <c r="A750" s="175"/>
      <c r="B750" s="175"/>
      <c r="C750" s="239"/>
      <c r="D750" s="240"/>
      <c r="E750" s="175"/>
      <c r="F750" s="175"/>
      <c r="G750" s="175"/>
      <c r="H750" s="246"/>
      <c r="I750" s="249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  <c r="AA750" s="175"/>
      <c r="AB750" s="175"/>
      <c r="AC750" s="175"/>
      <c r="AD750" s="175"/>
      <c r="AE750" s="175"/>
    </row>
    <row r="751" ht="15.75" customHeight="1" spans="1:31">
      <c r="A751" s="175"/>
      <c r="B751" s="175"/>
      <c r="C751" s="239"/>
      <c r="D751" s="240"/>
      <c r="E751" s="175"/>
      <c r="F751" s="175"/>
      <c r="G751" s="175"/>
      <c r="H751" s="246"/>
      <c r="I751" s="249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  <c r="AA751" s="175"/>
      <c r="AB751" s="175"/>
      <c r="AC751" s="175"/>
      <c r="AD751" s="175"/>
      <c r="AE751" s="175"/>
    </row>
    <row r="752" ht="15.75" customHeight="1" spans="1:31">
      <c r="A752" s="175"/>
      <c r="B752" s="175"/>
      <c r="C752" s="239"/>
      <c r="D752" s="240"/>
      <c r="E752" s="175"/>
      <c r="F752" s="175"/>
      <c r="G752" s="175"/>
      <c r="H752" s="246"/>
      <c r="I752" s="249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  <c r="AA752" s="175"/>
      <c r="AB752" s="175"/>
      <c r="AC752" s="175"/>
      <c r="AD752" s="175"/>
      <c r="AE752" s="175"/>
    </row>
    <row r="753" ht="15.75" customHeight="1" spans="1:31">
      <c r="A753" s="175"/>
      <c r="B753" s="175"/>
      <c r="C753" s="239"/>
      <c r="D753" s="240"/>
      <c r="E753" s="175"/>
      <c r="F753" s="175"/>
      <c r="G753" s="175"/>
      <c r="H753" s="246"/>
      <c r="I753" s="249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  <c r="AA753" s="175"/>
      <c r="AB753" s="175"/>
      <c r="AC753" s="175"/>
      <c r="AD753" s="175"/>
      <c r="AE753" s="175"/>
    </row>
    <row r="754" ht="15.75" customHeight="1" spans="1:31">
      <c r="A754" s="175"/>
      <c r="B754" s="175"/>
      <c r="C754" s="239"/>
      <c r="D754" s="240"/>
      <c r="E754" s="175"/>
      <c r="F754" s="175"/>
      <c r="G754" s="175"/>
      <c r="H754" s="246"/>
      <c r="I754" s="249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  <c r="AA754" s="175"/>
      <c r="AB754" s="175"/>
      <c r="AC754" s="175"/>
      <c r="AD754" s="175"/>
      <c r="AE754" s="175"/>
    </row>
    <row r="755" ht="15.75" customHeight="1" spans="1:31">
      <c r="A755" s="175"/>
      <c r="B755" s="175"/>
      <c r="C755" s="239"/>
      <c r="D755" s="240"/>
      <c r="E755" s="175"/>
      <c r="F755" s="175"/>
      <c r="G755" s="175"/>
      <c r="H755" s="246"/>
      <c r="I755" s="249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  <c r="AA755" s="175"/>
      <c r="AB755" s="175"/>
      <c r="AC755" s="175"/>
      <c r="AD755" s="175"/>
      <c r="AE755" s="175"/>
    </row>
    <row r="756" ht="15.75" customHeight="1" spans="1:31">
      <c r="A756" s="175"/>
      <c r="B756" s="175"/>
      <c r="C756" s="239"/>
      <c r="D756" s="240"/>
      <c r="E756" s="175"/>
      <c r="F756" s="175"/>
      <c r="G756" s="175"/>
      <c r="H756" s="246"/>
      <c r="I756" s="249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  <c r="AA756" s="175"/>
      <c r="AB756" s="175"/>
      <c r="AC756" s="175"/>
      <c r="AD756" s="175"/>
      <c r="AE756" s="175"/>
    </row>
    <row r="757" ht="15.75" customHeight="1" spans="1:31">
      <c r="A757" s="175"/>
      <c r="B757" s="175"/>
      <c r="C757" s="239"/>
      <c r="D757" s="240"/>
      <c r="E757" s="175"/>
      <c r="F757" s="175"/>
      <c r="G757" s="175"/>
      <c r="H757" s="246"/>
      <c r="I757" s="249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  <c r="AA757" s="175"/>
      <c r="AB757" s="175"/>
      <c r="AC757" s="175"/>
      <c r="AD757" s="175"/>
      <c r="AE757" s="175"/>
    </row>
    <row r="758" ht="15.75" customHeight="1" spans="1:31">
      <c r="A758" s="175"/>
      <c r="B758" s="175"/>
      <c r="C758" s="239"/>
      <c r="D758" s="240"/>
      <c r="E758" s="175"/>
      <c r="F758" s="175"/>
      <c r="G758" s="175"/>
      <c r="H758" s="246"/>
      <c r="I758" s="249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  <c r="AA758" s="175"/>
      <c r="AB758" s="175"/>
      <c r="AC758" s="175"/>
      <c r="AD758" s="175"/>
      <c r="AE758" s="175"/>
    </row>
    <row r="759" ht="15.75" customHeight="1" spans="1:31">
      <c r="A759" s="175"/>
      <c r="B759" s="175"/>
      <c r="C759" s="239"/>
      <c r="D759" s="240"/>
      <c r="E759" s="175"/>
      <c r="F759" s="175"/>
      <c r="G759" s="175"/>
      <c r="H759" s="246"/>
      <c r="I759" s="249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  <c r="AA759" s="175"/>
      <c r="AB759" s="175"/>
      <c r="AC759" s="175"/>
      <c r="AD759" s="175"/>
      <c r="AE759" s="175"/>
    </row>
    <row r="760" ht="15.75" customHeight="1" spans="1:31">
      <c r="A760" s="175"/>
      <c r="B760" s="175"/>
      <c r="C760" s="239"/>
      <c r="D760" s="240"/>
      <c r="E760" s="175"/>
      <c r="F760" s="175"/>
      <c r="G760" s="175"/>
      <c r="H760" s="246"/>
      <c r="I760" s="249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  <c r="AA760" s="175"/>
      <c r="AB760" s="175"/>
      <c r="AC760" s="175"/>
      <c r="AD760" s="175"/>
      <c r="AE760" s="175"/>
    </row>
    <row r="761" ht="15.75" customHeight="1" spans="1:31">
      <c r="A761" s="175"/>
      <c r="B761" s="175"/>
      <c r="C761" s="239"/>
      <c r="D761" s="240"/>
      <c r="E761" s="175"/>
      <c r="F761" s="175"/>
      <c r="G761" s="175"/>
      <c r="H761" s="246"/>
      <c r="I761" s="249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  <c r="AA761" s="175"/>
      <c r="AB761" s="175"/>
      <c r="AC761" s="175"/>
      <c r="AD761" s="175"/>
      <c r="AE761" s="175"/>
    </row>
    <row r="762" ht="15.75" customHeight="1" spans="1:31">
      <c r="A762" s="175"/>
      <c r="B762" s="175"/>
      <c r="C762" s="239"/>
      <c r="D762" s="240"/>
      <c r="E762" s="175"/>
      <c r="F762" s="175"/>
      <c r="G762" s="175"/>
      <c r="H762" s="246"/>
      <c r="I762" s="249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  <c r="AA762" s="175"/>
      <c r="AB762" s="175"/>
      <c r="AC762" s="175"/>
      <c r="AD762" s="175"/>
      <c r="AE762" s="175"/>
    </row>
    <row r="763" ht="15.75" customHeight="1" spans="1:31">
      <c r="A763" s="175"/>
      <c r="B763" s="175"/>
      <c r="C763" s="239"/>
      <c r="D763" s="240"/>
      <c r="E763" s="175"/>
      <c r="F763" s="175"/>
      <c r="G763" s="175"/>
      <c r="H763" s="246"/>
      <c r="I763" s="249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  <c r="AA763" s="175"/>
      <c r="AB763" s="175"/>
      <c r="AC763" s="175"/>
      <c r="AD763" s="175"/>
      <c r="AE763" s="175"/>
    </row>
    <row r="764" ht="15.75" customHeight="1" spans="1:31">
      <c r="A764" s="175"/>
      <c r="B764" s="175"/>
      <c r="C764" s="239"/>
      <c r="D764" s="240"/>
      <c r="E764" s="175"/>
      <c r="F764" s="175"/>
      <c r="G764" s="175"/>
      <c r="H764" s="246"/>
      <c r="I764" s="249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  <c r="AA764" s="175"/>
      <c r="AB764" s="175"/>
      <c r="AC764" s="175"/>
      <c r="AD764" s="175"/>
      <c r="AE764" s="175"/>
    </row>
    <row r="765" ht="15.75" customHeight="1" spans="1:31">
      <c r="A765" s="175"/>
      <c r="B765" s="175"/>
      <c r="C765" s="239"/>
      <c r="D765" s="240"/>
      <c r="E765" s="175"/>
      <c r="F765" s="175"/>
      <c r="G765" s="175"/>
      <c r="H765" s="246"/>
      <c r="I765" s="249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  <c r="AA765" s="175"/>
      <c r="AB765" s="175"/>
      <c r="AC765" s="175"/>
      <c r="AD765" s="175"/>
      <c r="AE765" s="175"/>
    </row>
    <row r="766" ht="15.75" customHeight="1" spans="1:31">
      <c r="A766" s="175"/>
      <c r="B766" s="175"/>
      <c r="C766" s="239"/>
      <c r="D766" s="240"/>
      <c r="E766" s="175"/>
      <c r="F766" s="175"/>
      <c r="G766" s="175"/>
      <c r="H766" s="246"/>
      <c r="I766" s="249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  <c r="AA766" s="175"/>
      <c r="AB766" s="175"/>
      <c r="AC766" s="175"/>
      <c r="AD766" s="175"/>
      <c r="AE766" s="175"/>
    </row>
    <row r="767" ht="15.75" customHeight="1" spans="1:31">
      <c r="A767" s="175"/>
      <c r="B767" s="175"/>
      <c r="C767" s="239"/>
      <c r="D767" s="240"/>
      <c r="E767" s="175"/>
      <c r="F767" s="175"/>
      <c r="G767" s="175"/>
      <c r="H767" s="246"/>
      <c r="I767" s="249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  <c r="AA767" s="175"/>
      <c r="AB767" s="175"/>
      <c r="AC767" s="175"/>
      <c r="AD767" s="175"/>
      <c r="AE767" s="175"/>
    </row>
    <row r="768" ht="15.75" customHeight="1" spans="1:31">
      <c r="A768" s="175"/>
      <c r="B768" s="175"/>
      <c r="C768" s="239"/>
      <c r="D768" s="240"/>
      <c r="E768" s="175"/>
      <c r="F768" s="175"/>
      <c r="G768" s="175"/>
      <c r="H768" s="246"/>
      <c r="I768" s="249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  <c r="AA768" s="175"/>
      <c r="AB768" s="175"/>
      <c r="AC768" s="175"/>
      <c r="AD768" s="175"/>
      <c r="AE768" s="175"/>
    </row>
    <row r="769" ht="15.75" customHeight="1" spans="1:31">
      <c r="A769" s="175"/>
      <c r="B769" s="175"/>
      <c r="C769" s="239"/>
      <c r="D769" s="240"/>
      <c r="E769" s="175"/>
      <c r="F769" s="175"/>
      <c r="G769" s="175"/>
      <c r="H769" s="246"/>
      <c r="I769" s="249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  <c r="AA769" s="175"/>
      <c r="AB769" s="175"/>
      <c r="AC769" s="175"/>
      <c r="AD769" s="175"/>
      <c r="AE769" s="175"/>
    </row>
    <row r="770" ht="15.75" customHeight="1" spans="1:31">
      <c r="A770" s="175"/>
      <c r="B770" s="175"/>
      <c r="C770" s="239"/>
      <c r="D770" s="240"/>
      <c r="E770" s="175"/>
      <c r="F770" s="175"/>
      <c r="G770" s="175"/>
      <c r="H770" s="246"/>
      <c r="I770" s="249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  <c r="AA770" s="175"/>
      <c r="AB770" s="175"/>
      <c r="AC770" s="175"/>
      <c r="AD770" s="175"/>
      <c r="AE770" s="175"/>
    </row>
    <row r="771" ht="15.75" customHeight="1" spans="1:31">
      <c r="A771" s="175"/>
      <c r="B771" s="175"/>
      <c r="C771" s="239"/>
      <c r="D771" s="240"/>
      <c r="E771" s="175"/>
      <c r="F771" s="175"/>
      <c r="G771" s="175"/>
      <c r="H771" s="246"/>
      <c r="I771" s="249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  <c r="AA771" s="175"/>
      <c r="AB771" s="175"/>
      <c r="AC771" s="175"/>
      <c r="AD771" s="175"/>
      <c r="AE771" s="175"/>
    </row>
    <row r="772" ht="15.75" customHeight="1" spans="1:31">
      <c r="A772" s="175"/>
      <c r="B772" s="175"/>
      <c r="C772" s="239"/>
      <c r="D772" s="240"/>
      <c r="E772" s="175"/>
      <c r="F772" s="175"/>
      <c r="G772" s="175"/>
      <c r="H772" s="246"/>
      <c r="I772" s="249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  <c r="AA772" s="175"/>
      <c r="AB772" s="175"/>
      <c r="AC772" s="175"/>
      <c r="AD772" s="175"/>
      <c r="AE772" s="175"/>
    </row>
    <row r="773" ht="15.75" customHeight="1" spans="1:31">
      <c r="A773" s="175"/>
      <c r="B773" s="175"/>
      <c r="C773" s="239"/>
      <c r="D773" s="240"/>
      <c r="E773" s="175"/>
      <c r="F773" s="175"/>
      <c r="G773" s="175"/>
      <c r="H773" s="246"/>
      <c r="I773" s="249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  <c r="AA773" s="175"/>
      <c r="AB773" s="175"/>
      <c r="AC773" s="175"/>
      <c r="AD773" s="175"/>
      <c r="AE773" s="175"/>
    </row>
    <row r="774" ht="15.75" customHeight="1" spans="1:31">
      <c r="A774" s="175"/>
      <c r="B774" s="175"/>
      <c r="C774" s="239"/>
      <c r="D774" s="240"/>
      <c r="E774" s="175"/>
      <c r="F774" s="175"/>
      <c r="G774" s="175"/>
      <c r="H774" s="246"/>
      <c r="I774" s="249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  <c r="AA774" s="175"/>
      <c r="AB774" s="175"/>
      <c r="AC774" s="175"/>
      <c r="AD774" s="175"/>
      <c r="AE774" s="175"/>
    </row>
    <row r="775" ht="15.75" customHeight="1" spans="1:31">
      <c r="A775" s="175"/>
      <c r="B775" s="175"/>
      <c r="C775" s="239"/>
      <c r="D775" s="240"/>
      <c r="E775" s="175"/>
      <c r="F775" s="175"/>
      <c r="G775" s="175"/>
      <c r="H775" s="246"/>
      <c r="I775" s="249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  <c r="AA775" s="175"/>
      <c r="AB775" s="175"/>
      <c r="AC775" s="175"/>
      <c r="AD775" s="175"/>
      <c r="AE775" s="175"/>
    </row>
    <row r="776" ht="15.75" customHeight="1" spans="1:31">
      <c r="A776" s="175"/>
      <c r="B776" s="175"/>
      <c r="C776" s="239"/>
      <c r="D776" s="240"/>
      <c r="E776" s="175"/>
      <c r="F776" s="175"/>
      <c r="G776" s="175"/>
      <c r="H776" s="246"/>
      <c r="I776" s="249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  <c r="AA776" s="175"/>
      <c r="AB776" s="175"/>
      <c r="AC776" s="175"/>
      <c r="AD776" s="175"/>
      <c r="AE776" s="175"/>
    </row>
    <row r="777" ht="15.75" customHeight="1" spans="1:31">
      <c r="A777" s="175"/>
      <c r="B777" s="175"/>
      <c r="C777" s="239"/>
      <c r="D777" s="240"/>
      <c r="E777" s="175"/>
      <c r="F777" s="175"/>
      <c r="G777" s="175"/>
      <c r="H777" s="246"/>
      <c r="I777" s="249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  <c r="AA777" s="175"/>
      <c r="AB777" s="175"/>
      <c r="AC777" s="175"/>
      <c r="AD777" s="175"/>
      <c r="AE777" s="175"/>
    </row>
    <row r="778" ht="15.75" customHeight="1" spans="1:31">
      <c r="A778" s="175"/>
      <c r="B778" s="175"/>
      <c r="C778" s="239"/>
      <c r="D778" s="240"/>
      <c r="E778" s="175"/>
      <c r="F778" s="175"/>
      <c r="G778" s="175"/>
      <c r="H778" s="246"/>
      <c r="I778" s="249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  <c r="AA778" s="175"/>
      <c r="AB778" s="175"/>
      <c r="AC778" s="175"/>
      <c r="AD778" s="175"/>
      <c r="AE778" s="175"/>
    </row>
    <row r="779" ht="15.75" customHeight="1" spans="1:31">
      <c r="A779" s="175"/>
      <c r="B779" s="175"/>
      <c r="C779" s="239"/>
      <c r="D779" s="240"/>
      <c r="E779" s="175"/>
      <c r="F779" s="175"/>
      <c r="G779" s="175"/>
      <c r="H779" s="246"/>
      <c r="I779" s="249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  <c r="AA779" s="175"/>
      <c r="AB779" s="175"/>
      <c r="AC779" s="175"/>
      <c r="AD779" s="175"/>
      <c r="AE779" s="175"/>
    </row>
    <row r="780" ht="15.75" customHeight="1" spans="1:31">
      <c r="A780" s="175"/>
      <c r="B780" s="175"/>
      <c r="C780" s="239"/>
      <c r="D780" s="240"/>
      <c r="E780" s="175"/>
      <c r="F780" s="175"/>
      <c r="G780" s="175"/>
      <c r="H780" s="246"/>
      <c r="I780" s="249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  <c r="AA780" s="175"/>
      <c r="AB780" s="175"/>
      <c r="AC780" s="175"/>
      <c r="AD780" s="175"/>
      <c r="AE780" s="175"/>
    </row>
    <row r="781" ht="15.75" customHeight="1" spans="1:31">
      <c r="A781" s="175"/>
      <c r="B781" s="175"/>
      <c r="C781" s="239"/>
      <c r="D781" s="240"/>
      <c r="E781" s="175"/>
      <c r="F781" s="175"/>
      <c r="G781" s="175"/>
      <c r="H781" s="246"/>
      <c r="I781" s="249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  <c r="AA781" s="175"/>
      <c r="AB781" s="175"/>
      <c r="AC781" s="175"/>
      <c r="AD781" s="175"/>
      <c r="AE781" s="175"/>
    </row>
    <row r="782" ht="15.75" customHeight="1" spans="1:31">
      <c r="A782" s="175"/>
      <c r="B782" s="175"/>
      <c r="C782" s="239"/>
      <c r="D782" s="240"/>
      <c r="E782" s="175"/>
      <c r="F782" s="175"/>
      <c r="G782" s="175"/>
      <c r="H782" s="246"/>
      <c r="I782" s="249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  <c r="AA782" s="175"/>
      <c r="AB782" s="175"/>
      <c r="AC782" s="175"/>
      <c r="AD782" s="175"/>
      <c r="AE782" s="175"/>
    </row>
    <row r="783" ht="15.75" customHeight="1" spans="1:31">
      <c r="A783" s="175"/>
      <c r="B783" s="175"/>
      <c r="C783" s="239"/>
      <c r="D783" s="240"/>
      <c r="E783" s="175"/>
      <c r="F783" s="175"/>
      <c r="G783" s="175"/>
      <c r="H783" s="246"/>
      <c r="I783" s="249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  <c r="AA783" s="175"/>
      <c r="AB783" s="175"/>
      <c r="AC783" s="175"/>
      <c r="AD783" s="175"/>
      <c r="AE783" s="175"/>
    </row>
    <row r="784" ht="15.75" customHeight="1" spans="1:31">
      <c r="A784" s="175"/>
      <c r="B784" s="175"/>
      <c r="C784" s="239"/>
      <c r="D784" s="240"/>
      <c r="E784" s="175"/>
      <c r="F784" s="175"/>
      <c r="G784" s="175"/>
      <c r="H784" s="246"/>
      <c r="I784" s="249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  <c r="AA784" s="175"/>
      <c r="AB784" s="175"/>
      <c r="AC784" s="175"/>
      <c r="AD784" s="175"/>
      <c r="AE784" s="175"/>
    </row>
    <row r="785" ht="15.75" customHeight="1" spans="1:31">
      <c r="A785" s="175"/>
      <c r="B785" s="175"/>
      <c r="C785" s="239"/>
      <c r="D785" s="240"/>
      <c r="E785" s="175"/>
      <c r="F785" s="175"/>
      <c r="G785" s="175"/>
      <c r="H785" s="246"/>
      <c r="I785" s="249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  <c r="AA785" s="175"/>
      <c r="AB785" s="175"/>
      <c r="AC785" s="175"/>
      <c r="AD785" s="175"/>
      <c r="AE785" s="175"/>
    </row>
    <row r="786" ht="15.75" customHeight="1" spans="1:31">
      <c r="A786" s="175"/>
      <c r="B786" s="175"/>
      <c r="C786" s="239"/>
      <c r="D786" s="240"/>
      <c r="E786" s="175"/>
      <c r="F786" s="175"/>
      <c r="G786" s="175"/>
      <c r="H786" s="246"/>
      <c r="I786" s="249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  <c r="AA786" s="175"/>
      <c r="AB786" s="175"/>
      <c r="AC786" s="175"/>
      <c r="AD786" s="175"/>
      <c r="AE786" s="175"/>
    </row>
    <row r="787" ht="15.75" customHeight="1" spans="1:31">
      <c r="A787" s="175"/>
      <c r="B787" s="175"/>
      <c r="C787" s="239"/>
      <c r="D787" s="240"/>
      <c r="E787" s="175"/>
      <c r="F787" s="175"/>
      <c r="G787" s="175"/>
      <c r="H787" s="246"/>
      <c r="I787" s="249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  <c r="AA787" s="175"/>
      <c r="AB787" s="175"/>
      <c r="AC787" s="175"/>
      <c r="AD787" s="175"/>
      <c r="AE787" s="175"/>
    </row>
    <row r="788" ht="15.75" customHeight="1" spans="1:31">
      <c r="A788" s="175"/>
      <c r="B788" s="175"/>
      <c r="C788" s="239"/>
      <c r="D788" s="240"/>
      <c r="E788" s="175"/>
      <c r="F788" s="175"/>
      <c r="G788" s="175"/>
      <c r="H788" s="246"/>
      <c r="I788" s="249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  <c r="AA788" s="175"/>
      <c r="AB788" s="175"/>
      <c r="AC788" s="175"/>
      <c r="AD788" s="175"/>
      <c r="AE788" s="175"/>
    </row>
    <row r="789" ht="15.75" customHeight="1" spans="1:31">
      <c r="A789" s="175"/>
      <c r="B789" s="175"/>
      <c r="C789" s="239"/>
      <c r="D789" s="240"/>
      <c r="E789" s="175"/>
      <c r="F789" s="175"/>
      <c r="G789" s="175"/>
      <c r="H789" s="246"/>
      <c r="I789" s="249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  <c r="AA789" s="175"/>
      <c r="AB789" s="175"/>
      <c r="AC789" s="175"/>
      <c r="AD789" s="175"/>
      <c r="AE789" s="175"/>
    </row>
    <row r="790" ht="15.75" customHeight="1" spans="1:31">
      <c r="A790" s="175"/>
      <c r="B790" s="175"/>
      <c r="C790" s="239"/>
      <c r="D790" s="240"/>
      <c r="E790" s="175"/>
      <c r="F790" s="175"/>
      <c r="G790" s="175"/>
      <c r="H790" s="246"/>
      <c r="I790" s="249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  <c r="AA790" s="175"/>
      <c r="AB790" s="175"/>
      <c r="AC790" s="175"/>
      <c r="AD790" s="175"/>
      <c r="AE790" s="175"/>
    </row>
    <row r="791" ht="15.75" customHeight="1" spans="1:31">
      <c r="A791" s="175"/>
      <c r="B791" s="175"/>
      <c r="C791" s="239"/>
      <c r="D791" s="240"/>
      <c r="E791" s="175"/>
      <c r="F791" s="175"/>
      <c r="G791" s="175"/>
      <c r="H791" s="246"/>
      <c r="I791" s="249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  <c r="AA791" s="175"/>
      <c r="AB791" s="175"/>
      <c r="AC791" s="175"/>
      <c r="AD791" s="175"/>
      <c r="AE791" s="175"/>
    </row>
    <row r="792" ht="15.75" customHeight="1" spans="1:31">
      <c r="A792" s="175"/>
      <c r="B792" s="175"/>
      <c r="C792" s="239"/>
      <c r="D792" s="240"/>
      <c r="E792" s="175"/>
      <c r="F792" s="175"/>
      <c r="G792" s="175"/>
      <c r="H792" s="246"/>
      <c r="I792" s="249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  <c r="AA792" s="175"/>
      <c r="AB792" s="175"/>
      <c r="AC792" s="175"/>
      <c r="AD792" s="175"/>
      <c r="AE792" s="175"/>
    </row>
    <row r="793" ht="15.75" customHeight="1" spans="1:31">
      <c r="A793" s="175"/>
      <c r="B793" s="175"/>
      <c r="C793" s="239"/>
      <c r="D793" s="240"/>
      <c r="E793" s="175"/>
      <c r="F793" s="175"/>
      <c r="G793" s="175"/>
      <c r="H793" s="246"/>
      <c r="I793" s="249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  <c r="AA793" s="175"/>
      <c r="AB793" s="175"/>
      <c r="AC793" s="175"/>
      <c r="AD793" s="175"/>
      <c r="AE793" s="175"/>
    </row>
    <row r="794" ht="15.75" customHeight="1" spans="1:31">
      <c r="A794" s="175"/>
      <c r="B794" s="175"/>
      <c r="C794" s="239"/>
      <c r="D794" s="240"/>
      <c r="E794" s="175"/>
      <c r="F794" s="175"/>
      <c r="G794" s="175"/>
      <c r="H794" s="246"/>
      <c r="I794" s="249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  <c r="AA794" s="175"/>
      <c r="AB794" s="175"/>
      <c r="AC794" s="175"/>
      <c r="AD794" s="175"/>
      <c r="AE794" s="175"/>
    </row>
    <row r="795" ht="15.75" customHeight="1" spans="1:31">
      <c r="A795" s="175"/>
      <c r="B795" s="175"/>
      <c r="C795" s="239"/>
      <c r="D795" s="240"/>
      <c r="E795" s="175"/>
      <c r="F795" s="175"/>
      <c r="G795" s="175"/>
      <c r="H795" s="246"/>
      <c r="I795" s="249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  <c r="AA795" s="175"/>
      <c r="AB795" s="175"/>
      <c r="AC795" s="175"/>
      <c r="AD795" s="175"/>
      <c r="AE795" s="175"/>
    </row>
    <row r="796" ht="15.75" customHeight="1" spans="1:31">
      <c r="A796" s="175"/>
      <c r="B796" s="175"/>
      <c r="C796" s="239"/>
      <c r="D796" s="240"/>
      <c r="E796" s="175"/>
      <c r="F796" s="175"/>
      <c r="G796" s="175"/>
      <c r="H796" s="246"/>
      <c r="I796" s="249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  <c r="AA796" s="175"/>
      <c r="AB796" s="175"/>
      <c r="AC796" s="175"/>
      <c r="AD796" s="175"/>
      <c r="AE796" s="175"/>
    </row>
    <row r="797" ht="15.75" customHeight="1" spans="1:31">
      <c r="A797" s="175"/>
      <c r="B797" s="175"/>
      <c r="C797" s="239"/>
      <c r="D797" s="240"/>
      <c r="E797" s="175"/>
      <c r="F797" s="175"/>
      <c r="G797" s="175"/>
      <c r="H797" s="246"/>
      <c r="I797" s="249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  <c r="AA797" s="175"/>
      <c r="AB797" s="175"/>
      <c r="AC797" s="175"/>
      <c r="AD797" s="175"/>
      <c r="AE797" s="175"/>
    </row>
    <row r="798" ht="15.75" customHeight="1" spans="1:31">
      <c r="A798" s="175"/>
      <c r="B798" s="175"/>
      <c r="C798" s="239"/>
      <c r="D798" s="240"/>
      <c r="E798" s="175"/>
      <c r="F798" s="175"/>
      <c r="G798" s="175"/>
      <c r="H798" s="246"/>
      <c r="I798" s="249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  <c r="AA798" s="175"/>
      <c r="AB798" s="175"/>
      <c r="AC798" s="175"/>
      <c r="AD798" s="175"/>
      <c r="AE798" s="175"/>
    </row>
    <row r="799" ht="15.75" customHeight="1" spans="1:31">
      <c r="A799" s="175"/>
      <c r="B799" s="175"/>
      <c r="C799" s="239"/>
      <c r="D799" s="240"/>
      <c r="E799" s="175"/>
      <c r="F799" s="175"/>
      <c r="G799" s="175"/>
      <c r="H799" s="246"/>
      <c r="I799" s="249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  <c r="AA799" s="175"/>
      <c r="AB799" s="175"/>
      <c r="AC799" s="175"/>
      <c r="AD799" s="175"/>
      <c r="AE799" s="175"/>
    </row>
    <row r="800" ht="15.75" customHeight="1" spans="1:31">
      <c r="A800" s="175"/>
      <c r="B800" s="175"/>
      <c r="C800" s="239"/>
      <c r="D800" s="240"/>
      <c r="E800" s="175"/>
      <c r="F800" s="175"/>
      <c r="G800" s="175"/>
      <c r="H800" s="246"/>
      <c r="I800" s="249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  <c r="AA800" s="175"/>
      <c r="AB800" s="175"/>
      <c r="AC800" s="175"/>
      <c r="AD800" s="175"/>
      <c r="AE800" s="175"/>
    </row>
    <row r="801" ht="15.75" customHeight="1" spans="1:31">
      <c r="A801" s="175"/>
      <c r="B801" s="175"/>
      <c r="C801" s="239"/>
      <c r="D801" s="240"/>
      <c r="E801" s="175"/>
      <c r="F801" s="175"/>
      <c r="G801" s="175"/>
      <c r="H801" s="246"/>
      <c r="I801" s="249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  <c r="AA801" s="175"/>
      <c r="AB801" s="175"/>
      <c r="AC801" s="175"/>
      <c r="AD801" s="175"/>
      <c r="AE801" s="175"/>
    </row>
    <row r="802" ht="15.75" customHeight="1" spans="1:31">
      <c r="A802" s="175"/>
      <c r="B802" s="175"/>
      <c r="C802" s="239"/>
      <c r="D802" s="240"/>
      <c r="E802" s="175"/>
      <c r="F802" s="175"/>
      <c r="G802" s="175"/>
      <c r="H802" s="246"/>
      <c r="I802" s="249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  <c r="AA802" s="175"/>
      <c r="AB802" s="175"/>
      <c r="AC802" s="175"/>
      <c r="AD802" s="175"/>
      <c r="AE802" s="175"/>
    </row>
    <row r="803" ht="15.75" customHeight="1" spans="1:31">
      <c r="A803" s="175"/>
      <c r="B803" s="175"/>
      <c r="C803" s="239"/>
      <c r="D803" s="240"/>
      <c r="E803" s="175"/>
      <c r="F803" s="175"/>
      <c r="G803" s="175"/>
      <c r="H803" s="246"/>
      <c r="I803" s="249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  <c r="AA803" s="175"/>
      <c r="AB803" s="175"/>
      <c r="AC803" s="175"/>
      <c r="AD803" s="175"/>
      <c r="AE803" s="175"/>
    </row>
    <row r="804" ht="15.75" customHeight="1" spans="1:31">
      <c r="A804" s="175"/>
      <c r="B804" s="175"/>
      <c r="C804" s="239"/>
      <c r="D804" s="240"/>
      <c r="E804" s="175"/>
      <c r="F804" s="175"/>
      <c r="G804" s="175"/>
      <c r="H804" s="246"/>
      <c r="I804" s="249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  <c r="AA804" s="175"/>
      <c r="AB804" s="175"/>
      <c r="AC804" s="175"/>
      <c r="AD804" s="175"/>
      <c r="AE804" s="175"/>
    </row>
    <row r="805" ht="15.75" customHeight="1" spans="1:31">
      <c r="A805" s="175"/>
      <c r="B805" s="175"/>
      <c r="C805" s="239"/>
      <c r="D805" s="240"/>
      <c r="E805" s="175"/>
      <c r="F805" s="175"/>
      <c r="G805" s="175"/>
      <c r="H805" s="246"/>
      <c r="I805" s="249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  <c r="AA805" s="175"/>
      <c r="AB805" s="175"/>
      <c r="AC805" s="175"/>
      <c r="AD805" s="175"/>
      <c r="AE805" s="175"/>
    </row>
    <row r="806" ht="15.75" customHeight="1" spans="1:31">
      <c r="A806" s="175"/>
      <c r="B806" s="175"/>
      <c r="C806" s="239"/>
      <c r="D806" s="240"/>
      <c r="E806" s="175"/>
      <c r="F806" s="175"/>
      <c r="G806" s="175"/>
      <c r="H806" s="246"/>
      <c r="I806" s="249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  <c r="AA806" s="175"/>
      <c r="AB806" s="175"/>
      <c r="AC806" s="175"/>
      <c r="AD806" s="175"/>
      <c r="AE806" s="175"/>
    </row>
    <row r="807" ht="15.75" customHeight="1" spans="1:31">
      <c r="A807" s="175"/>
      <c r="B807" s="175"/>
      <c r="C807" s="239"/>
      <c r="D807" s="240"/>
      <c r="E807" s="175"/>
      <c r="F807" s="175"/>
      <c r="G807" s="175"/>
      <c r="H807" s="246"/>
      <c r="I807" s="249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  <c r="AA807" s="175"/>
      <c r="AB807" s="175"/>
      <c r="AC807" s="175"/>
      <c r="AD807" s="175"/>
      <c r="AE807" s="175"/>
    </row>
    <row r="808" ht="15.75" customHeight="1" spans="1:31">
      <c r="A808" s="175"/>
      <c r="B808" s="175"/>
      <c r="C808" s="239"/>
      <c r="D808" s="240"/>
      <c r="E808" s="175"/>
      <c r="F808" s="175"/>
      <c r="G808" s="175"/>
      <c r="H808" s="246"/>
      <c r="I808" s="249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  <c r="AA808" s="175"/>
      <c r="AB808" s="175"/>
      <c r="AC808" s="175"/>
      <c r="AD808" s="175"/>
      <c r="AE808" s="175"/>
    </row>
    <row r="809" ht="15.75" customHeight="1" spans="1:31">
      <c r="A809" s="175"/>
      <c r="B809" s="175"/>
      <c r="C809" s="239"/>
      <c r="D809" s="240"/>
      <c r="E809" s="175"/>
      <c r="F809" s="175"/>
      <c r="G809" s="175"/>
      <c r="H809" s="246"/>
      <c r="I809" s="249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  <c r="AA809" s="175"/>
      <c r="AB809" s="175"/>
      <c r="AC809" s="175"/>
      <c r="AD809" s="175"/>
      <c r="AE809" s="175"/>
    </row>
    <row r="810" ht="15.75" customHeight="1" spans="1:31">
      <c r="A810" s="175"/>
      <c r="B810" s="175"/>
      <c r="C810" s="239"/>
      <c r="D810" s="240"/>
      <c r="E810" s="175"/>
      <c r="F810" s="175"/>
      <c r="G810" s="175"/>
      <c r="H810" s="246"/>
      <c r="I810" s="249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  <c r="AA810" s="175"/>
      <c r="AB810" s="175"/>
      <c r="AC810" s="175"/>
      <c r="AD810" s="175"/>
      <c r="AE810" s="175"/>
    </row>
    <row r="811" ht="15.75" customHeight="1" spans="1:31">
      <c r="A811" s="175"/>
      <c r="B811" s="175"/>
      <c r="C811" s="239"/>
      <c r="D811" s="240"/>
      <c r="E811" s="175"/>
      <c r="F811" s="175"/>
      <c r="G811" s="175"/>
      <c r="H811" s="246"/>
      <c r="I811" s="249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  <c r="AA811" s="175"/>
      <c r="AB811" s="175"/>
      <c r="AC811" s="175"/>
      <c r="AD811" s="175"/>
      <c r="AE811" s="175"/>
    </row>
    <row r="812" ht="15.75" customHeight="1" spans="1:31">
      <c r="A812" s="175"/>
      <c r="B812" s="175"/>
      <c r="C812" s="239"/>
      <c r="D812" s="240"/>
      <c r="E812" s="175"/>
      <c r="F812" s="175"/>
      <c r="G812" s="175"/>
      <c r="H812" s="246"/>
      <c r="I812" s="249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  <c r="AA812" s="175"/>
      <c r="AB812" s="175"/>
      <c r="AC812" s="175"/>
      <c r="AD812" s="175"/>
      <c r="AE812" s="175"/>
    </row>
    <row r="813" ht="15.75" customHeight="1" spans="1:31">
      <c r="A813" s="175"/>
      <c r="B813" s="175"/>
      <c r="C813" s="239"/>
      <c r="D813" s="240"/>
      <c r="E813" s="175"/>
      <c r="F813" s="175"/>
      <c r="G813" s="175"/>
      <c r="H813" s="246"/>
      <c r="I813" s="249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  <c r="AA813" s="175"/>
      <c r="AB813" s="175"/>
      <c r="AC813" s="175"/>
      <c r="AD813" s="175"/>
      <c r="AE813" s="175"/>
    </row>
    <row r="814" ht="15.75" customHeight="1" spans="1:31">
      <c r="A814" s="175"/>
      <c r="B814" s="175"/>
      <c r="C814" s="239"/>
      <c r="D814" s="240"/>
      <c r="E814" s="175"/>
      <c r="F814" s="175"/>
      <c r="G814" s="175"/>
      <c r="H814" s="246"/>
      <c r="I814" s="249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  <c r="AA814" s="175"/>
      <c r="AB814" s="175"/>
      <c r="AC814" s="175"/>
      <c r="AD814" s="175"/>
      <c r="AE814" s="175"/>
    </row>
    <row r="815" ht="15.75" customHeight="1" spans="1:31">
      <c r="A815" s="175"/>
      <c r="B815" s="175"/>
      <c r="C815" s="239"/>
      <c r="D815" s="240"/>
      <c r="E815" s="175"/>
      <c r="F815" s="175"/>
      <c r="G815" s="175"/>
      <c r="H815" s="246"/>
      <c r="I815" s="249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  <c r="AA815" s="175"/>
      <c r="AB815" s="175"/>
      <c r="AC815" s="175"/>
      <c r="AD815" s="175"/>
      <c r="AE815" s="175"/>
    </row>
    <row r="816" ht="15.75" customHeight="1" spans="1:31">
      <c r="A816" s="175"/>
      <c r="B816" s="175"/>
      <c r="C816" s="239"/>
      <c r="D816" s="240"/>
      <c r="E816" s="175"/>
      <c r="F816" s="175"/>
      <c r="G816" s="175"/>
      <c r="H816" s="246"/>
      <c r="I816" s="249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  <c r="AA816" s="175"/>
      <c r="AB816" s="175"/>
      <c r="AC816" s="175"/>
      <c r="AD816" s="175"/>
      <c r="AE816" s="175"/>
    </row>
    <row r="817" ht="15.75" customHeight="1" spans="1:31">
      <c r="A817" s="175"/>
      <c r="B817" s="175"/>
      <c r="C817" s="239"/>
      <c r="D817" s="240"/>
      <c r="E817" s="175"/>
      <c r="F817" s="175"/>
      <c r="G817" s="175"/>
      <c r="H817" s="246"/>
      <c r="I817" s="249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  <c r="AA817" s="175"/>
      <c r="AB817" s="175"/>
      <c r="AC817" s="175"/>
      <c r="AD817" s="175"/>
      <c r="AE817" s="175"/>
    </row>
    <row r="818" ht="15.75" customHeight="1" spans="1:31">
      <c r="A818" s="175"/>
      <c r="B818" s="175"/>
      <c r="C818" s="239"/>
      <c r="D818" s="240"/>
      <c r="E818" s="175"/>
      <c r="F818" s="175"/>
      <c r="G818" s="175"/>
      <c r="H818" s="246"/>
      <c r="I818" s="249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  <c r="AA818" s="175"/>
      <c r="AB818" s="175"/>
      <c r="AC818" s="175"/>
      <c r="AD818" s="175"/>
      <c r="AE818" s="175"/>
    </row>
    <row r="819" ht="15.75" customHeight="1" spans="1:31">
      <c r="A819" s="175"/>
      <c r="B819" s="175"/>
      <c r="C819" s="239"/>
      <c r="D819" s="240"/>
      <c r="E819" s="175"/>
      <c r="F819" s="175"/>
      <c r="G819" s="175"/>
      <c r="H819" s="246"/>
      <c r="I819" s="249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  <c r="AA819" s="175"/>
      <c r="AB819" s="175"/>
      <c r="AC819" s="175"/>
      <c r="AD819" s="175"/>
      <c r="AE819" s="175"/>
    </row>
    <row r="820" ht="15.75" customHeight="1" spans="1:31">
      <c r="A820" s="175"/>
      <c r="B820" s="175"/>
      <c r="C820" s="239"/>
      <c r="D820" s="240"/>
      <c r="E820" s="175"/>
      <c r="F820" s="175"/>
      <c r="G820" s="175"/>
      <c r="H820" s="246"/>
      <c r="I820" s="249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  <c r="AA820" s="175"/>
      <c r="AB820" s="175"/>
      <c r="AC820" s="175"/>
      <c r="AD820" s="175"/>
      <c r="AE820" s="175"/>
    </row>
    <row r="821" ht="15.75" customHeight="1" spans="1:31">
      <c r="A821" s="175"/>
      <c r="B821" s="175"/>
      <c r="C821" s="239"/>
      <c r="D821" s="240"/>
      <c r="E821" s="175"/>
      <c r="F821" s="175"/>
      <c r="G821" s="175"/>
      <c r="H821" s="246"/>
      <c r="I821" s="249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  <c r="AA821" s="175"/>
      <c r="AB821" s="175"/>
      <c r="AC821" s="175"/>
      <c r="AD821" s="175"/>
      <c r="AE821" s="175"/>
    </row>
    <row r="822" ht="15.75" customHeight="1" spans="1:31">
      <c r="A822" s="175"/>
      <c r="B822" s="175"/>
      <c r="C822" s="239"/>
      <c r="D822" s="240"/>
      <c r="E822" s="175"/>
      <c r="F822" s="175"/>
      <c r="G822" s="175"/>
      <c r="H822" s="246"/>
      <c r="I822" s="249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  <c r="AA822" s="175"/>
      <c r="AB822" s="175"/>
      <c r="AC822" s="175"/>
      <c r="AD822" s="175"/>
      <c r="AE822" s="175"/>
    </row>
    <row r="823" ht="15.75" customHeight="1" spans="1:31">
      <c r="A823" s="175"/>
      <c r="B823" s="175"/>
      <c r="C823" s="239"/>
      <c r="D823" s="240"/>
      <c r="E823" s="175"/>
      <c r="F823" s="175"/>
      <c r="G823" s="175"/>
      <c r="H823" s="246"/>
      <c r="I823" s="249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  <c r="AA823" s="175"/>
      <c r="AB823" s="175"/>
      <c r="AC823" s="175"/>
      <c r="AD823" s="175"/>
      <c r="AE823" s="175"/>
    </row>
    <row r="824" ht="15.75" customHeight="1" spans="1:31">
      <c r="A824" s="175"/>
      <c r="B824" s="175"/>
      <c r="C824" s="239"/>
      <c r="D824" s="240"/>
      <c r="E824" s="175"/>
      <c r="F824" s="175"/>
      <c r="G824" s="175"/>
      <c r="H824" s="246"/>
      <c r="I824" s="249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  <c r="AA824" s="175"/>
      <c r="AB824" s="175"/>
      <c r="AC824" s="175"/>
      <c r="AD824" s="175"/>
      <c r="AE824" s="175"/>
    </row>
    <row r="825" ht="15.75" customHeight="1" spans="1:31">
      <c r="A825" s="175"/>
      <c r="B825" s="175"/>
      <c r="C825" s="239"/>
      <c r="D825" s="240"/>
      <c r="E825" s="175"/>
      <c r="F825" s="175"/>
      <c r="G825" s="175"/>
      <c r="H825" s="246"/>
      <c r="I825" s="249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  <c r="AA825" s="175"/>
      <c r="AB825" s="175"/>
      <c r="AC825" s="175"/>
      <c r="AD825" s="175"/>
      <c r="AE825" s="175"/>
    </row>
    <row r="826" ht="15.75" customHeight="1" spans="1:31">
      <c r="A826" s="175"/>
      <c r="B826" s="175"/>
      <c r="C826" s="239"/>
      <c r="D826" s="240"/>
      <c r="E826" s="175"/>
      <c r="F826" s="175"/>
      <c r="G826" s="175"/>
      <c r="H826" s="246"/>
      <c r="I826" s="249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  <c r="AA826" s="175"/>
      <c r="AB826" s="175"/>
      <c r="AC826" s="175"/>
      <c r="AD826" s="175"/>
      <c r="AE826" s="175"/>
    </row>
    <row r="827" ht="15.75" customHeight="1" spans="1:31">
      <c r="A827" s="175"/>
      <c r="B827" s="175"/>
      <c r="C827" s="239"/>
      <c r="D827" s="240"/>
      <c r="E827" s="175"/>
      <c r="F827" s="175"/>
      <c r="G827" s="175"/>
      <c r="H827" s="246"/>
      <c r="I827" s="249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  <c r="AA827" s="175"/>
      <c r="AB827" s="175"/>
      <c r="AC827" s="175"/>
      <c r="AD827" s="175"/>
      <c r="AE827" s="175"/>
    </row>
    <row r="828" ht="15.75" customHeight="1" spans="1:31">
      <c r="A828" s="175"/>
      <c r="B828" s="175"/>
      <c r="C828" s="239"/>
      <c r="D828" s="240"/>
      <c r="E828" s="175"/>
      <c r="F828" s="175"/>
      <c r="G828" s="175"/>
      <c r="H828" s="246"/>
      <c r="I828" s="249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  <c r="AA828" s="175"/>
      <c r="AB828" s="175"/>
      <c r="AC828" s="175"/>
      <c r="AD828" s="175"/>
      <c r="AE828" s="175"/>
    </row>
    <row r="829" ht="15.75" customHeight="1" spans="1:31">
      <c r="A829" s="175"/>
      <c r="B829" s="175"/>
      <c r="C829" s="239"/>
      <c r="D829" s="240"/>
      <c r="E829" s="175"/>
      <c r="F829" s="175"/>
      <c r="G829" s="175"/>
      <c r="H829" s="246"/>
      <c r="I829" s="249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  <c r="AA829" s="175"/>
      <c r="AB829" s="175"/>
      <c r="AC829" s="175"/>
      <c r="AD829" s="175"/>
      <c r="AE829" s="175"/>
    </row>
    <row r="830" ht="15.75" customHeight="1" spans="1:31">
      <c r="A830" s="175"/>
      <c r="B830" s="175"/>
      <c r="C830" s="239"/>
      <c r="D830" s="240"/>
      <c r="E830" s="175"/>
      <c r="F830" s="175"/>
      <c r="G830" s="175"/>
      <c r="H830" s="246"/>
      <c r="I830" s="249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  <c r="AA830" s="175"/>
      <c r="AB830" s="175"/>
      <c r="AC830" s="175"/>
      <c r="AD830" s="175"/>
      <c r="AE830" s="175"/>
    </row>
    <row r="831" ht="15.75" customHeight="1" spans="1:31">
      <c r="A831" s="175"/>
      <c r="B831" s="175"/>
      <c r="C831" s="239"/>
      <c r="D831" s="240"/>
      <c r="E831" s="175"/>
      <c r="F831" s="175"/>
      <c r="G831" s="175"/>
      <c r="H831" s="246"/>
      <c r="I831" s="249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  <c r="AA831" s="175"/>
      <c r="AB831" s="175"/>
      <c r="AC831" s="175"/>
      <c r="AD831" s="175"/>
      <c r="AE831" s="175"/>
    </row>
    <row r="832" ht="15.75" customHeight="1" spans="1:31">
      <c r="A832" s="175"/>
      <c r="B832" s="175"/>
      <c r="C832" s="239"/>
      <c r="D832" s="240"/>
      <c r="E832" s="175"/>
      <c r="F832" s="175"/>
      <c r="G832" s="175"/>
      <c r="H832" s="246"/>
      <c r="I832" s="249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  <c r="AA832" s="175"/>
      <c r="AB832" s="175"/>
      <c r="AC832" s="175"/>
      <c r="AD832" s="175"/>
      <c r="AE832" s="175"/>
    </row>
    <row r="833" ht="15.75" customHeight="1" spans="1:31">
      <c r="A833" s="175"/>
      <c r="B833" s="175"/>
      <c r="C833" s="239"/>
      <c r="D833" s="240"/>
      <c r="E833" s="175"/>
      <c r="F833" s="175"/>
      <c r="G833" s="175"/>
      <c r="H833" s="246"/>
      <c r="I833" s="249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  <c r="AA833" s="175"/>
      <c r="AB833" s="175"/>
      <c r="AC833" s="175"/>
      <c r="AD833" s="175"/>
      <c r="AE833" s="175"/>
    </row>
    <row r="834" ht="15.75" customHeight="1" spans="1:31">
      <c r="A834" s="175"/>
      <c r="B834" s="175"/>
      <c r="C834" s="239"/>
      <c r="D834" s="240"/>
      <c r="E834" s="175"/>
      <c r="F834" s="175"/>
      <c r="G834" s="175"/>
      <c r="H834" s="246"/>
      <c r="I834" s="249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  <c r="AA834" s="175"/>
      <c r="AB834" s="175"/>
      <c r="AC834" s="175"/>
      <c r="AD834" s="175"/>
      <c r="AE834" s="175"/>
    </row>
    <row r="835" ht="15.75" customHeight="1" spans="1:31">
      <c r="A835" s="175"/>
      <c r="B835" s="175"/>
      <c r="C835" s="239"/>
      <c r="D835" s="240"/>
      <c r="E835" s="175"/>
      <c r="F835" s="175"/>
      <c r="G835" s="175"/>
      <c r="H835" s="246"/>
      <c r="I835" s="249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  <c r="AA835" s="175"/>
      <c r="AB835" s="175"/>
      <c r="AC835" s="175"/>
      <c r="AD835" s="175"/>
      <c r="AE835" s="175"/>
    </row>
    <row r="836" ht="15.75" customHeight="1" spans="1:31">
      <c r="A836" s="175"/>
      <c r="B836" s="175"/>
      <c r="C836" s="239"/>
      <c r="D836" s="240"/>
      <c r="E836" s="175"/>
      <c r="F836" s="175"/>
      <c r="G836" s="175"/>
      <c r="H836" s="246"/>
      <c r="I836" s="249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  <c r="AA836" s="175"/>
      <c r="AB836" s="175"/>
      <c r="AC836" s="175"/>
      <c r="AD836" s="175"/>
      <c r="AE836" s="175"/>
    </row>
    <row r="837" ht="15.75" customHeight="1" spans="1:31">
      <c r="A837" s="175"/>
      <c r="B837" s="175"/>
      <c r="C837" s="239"/>
      <c r="D837" s="240"/>
      <c r="E837" s="175"/>
      <c r="F837" s="175"/>
      <c r="G837" s="175"/>
      <c r="H837" s="246"/>
      <c r="I837" s="249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  <c r="AA837" s="175"/>
      <c r="AB837" s="175"/>
      <c r="AC837" s="175"/>
      <c r="AD837" s="175"/>
      <c r="AE837" s="175"/>
    </row>
    <row r="838" ht="15.75" customHeight="1" spans="1:31">
      <c r="A838" s="175"/>
      <c r="B838" s="175"/>
      <c r="C838" s="239"/>
      <c r="D838" s="240"/>
      <c r="E838" s="175"/>
      <c r="F838" s="175"/>
      <c r="G838" s="175"/>
      <c r="H838" s="246"/>
      <c r="I838" s="249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  <c r="AA838" s="175"/>
      <c r="AB838" s="175"/>
      <c r="AC838" s="175"/>
      <c r="AD838" s="175"/>
      <c r="AE838" s="175"/>
    </row>
    <row r="839" ht="15.75" customHeight="1" spans="1:31">
      <c r="A839" s="175"/>
      <c r="B839" s="175"/>
      <c r="C839" s="239"/>
      <c r="D839" s="240"/>
      <c r="E839" s="175"/>
      <c r="F839" s="175"/>
      <c r="G839" s="175"/>
      <c r="H839" s="246"/>
      <c r="I839" s="249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  <c r="AA839" s="175"/>
      <c r="AB839" s="175"/>
      <c r="AC839" s="175"/>
      <c r="AD839" s="175"/>
      <c r="AE839" s="175"/>
    </row>
    <row r="840" ht="15.75" customHeight="1" spans="1:31">
      <c r="A840" s="175"/>
      <c r="B840" s="175"/>
      <c r="C840" s="239"/>
      <c r="D840" s="240"/>
      <c r="E840" s="175"/>
      <c r="F840" s="175"/>
      <c r="G840" s="175"/>
      <c r="H840" s="246"/>
      <c r="I840" s="249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  <c r="AA840" s="175"/>
      <c r="AB840" s="175"/>
      <c r="AC840" s="175"/>
      <c r="AD840" s="175"/>
      <c r="AE840" s="175"/>
    </row>
    <row r="841" ht="15.75" customHeight="1" spans="1:31">
      <c r="A841" s="175"/>
      <c r="B841" s="175"/>
      <c r="C841" s="239"/>
      <c r="D841" s="240"/>
      <c r="E841" s="175"/>
      <c r="F841" s="175"/>
      <c r="G841" s="175"/>
      <c r="H841" s="246"/>
      <c r="I841" s="249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  <c r="AA841" s="175"/>
      <c r="AB841" s="175"/>
      <c r="AC841" s="175"/>
      <c r="AD841" s="175"/>
      <c r="AE841" s="175"/>
    </row>
    <row r="842" ht="15.75" customHeight="1" spans="1:31">
      <c r="A842" s="175"/>
      <c r="B842" s="175"/>
      <c r="C842" s="239"/>
      <c r="D842" s="240"/>
      <c r="E842" s="175"/>
      <c r="F842" s="175"/>
      <c r="G842" s="175"/>
      <c r="H842" s="246"/>
      <c r="I842" s="249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  <c r="AA842" s="175"/>
      <c r="AB842" s="175"/>
      <c r="AC842" s="175"/>
      <c r="AD842" s="175"/>
      <c r="AE842" s="175"/>
    </row>
    <row r="843" ht="15.75" customHeight="1" spans="1:31">
      <c r="A843" s="175"/>
      <c r="B843" s="175"/>
      <c r="C843" s="239"/>
      <c r="D843" s="240"/>
      <c r="E843" s="175"/>
      <c r="F843" s="175"/>
      <c r="G843" s="175"/>
      <c r="H843" s="246"/>
      <c r="I843" s="249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  <c r="AA843" s="175"/>
      <c r="AB843" s="175"/>
      <c r="AC843" s="175"/>
      <c r="AD843" s="175"/>
      <c r="AE843" s="175"/>
    </row>
    <row r="844" ht="15.75" customHeight="1" spans="1:31">
      <c r="A844" s="175"/>
      <c r="B844" s="175"/>
      <c r="C844" s="239"/>
      <c r="D844" s="240"/>
      <c r="E844" s="175"/>
      <c r="F844" s="175"/>
      <c r="G844" s="175"/>
      <c r="H844" s="246"/>
      <c r="I844" s="249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  <c r="AA844" s="175"/>
      <c r="AB844" s="175"/>
      <c r="AC844" s="175"/>
      <c r="AD844" s="175"/>
      <c r="AE844" s="175"/>
    </row>
    <row r="845" ht="15.75" customHeight="1" spans="1:31">
      <c r="A845" s="175"/>
      <c r="B845" s="175"/>
      <c r="C845" s="239"/>
      <c r="D845" s="240"/>
      <c r="E845" s="175"/>
      <c r="F845" s="175"/>
      <c r="G845" s="175"/>
      <c r="H845" s="246"/>
      <c r="I845" s="249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  <c r="AA845" s="175"/>
      <c r="AB845" s="175"/>
      <c r="AC845" s="175"/>
      <c r="AD845" s="175"/>
      <c r="AE845" s="175"/>
    </row>
    <row r="846" ht="15.75" customHeight="1" spans="1:31">
      <c r="A846" s="175"/>
      <c r="B846" s="175"/>
      <c r="C846" s="239"/>
      <c r="D846" s="240"/>
      <c r="E846" s="175"/>
      <c r="F846" s="175"/>
      <c r="G846" s="175"/>
      <c r="H846" s="246"/>
      <c r="I846" s="249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  <c r="AA846" s="175"/>
      <c r="AB846" s="175"/>
      <c r="AC846" s="175"/>
      <c r="AD846" s="175"/>
      <c r="AE846" s="175"/>
    </row>
    <row r="847" ht="15.75" customHeight="1" spans="1:31">
      <c r="A847" s="175"/>
      <c r="B847" s="175"/>
      <c r="C847" s="239"/>
      <c r="D847" s="240"/>
      <c r="E847" s="175"/>
      <c r="F847" s="175"/>
      <c r="G847" s="175"/>
      <c r="H847" s="246"/>
      <c r="I847" s="249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  <c r="AA847" s="175"/>
      <c r="AB847" s="175"/>
      <c r="AC847" s="175"/>
      <c r="AD847" s="175"/>
      <c r="AE847" s="175"/>
    </row>
    <row r="848" ht="15.75" customHeight="1" spans="1:31">
      <c r="A848" s="175"/>
      <c r="B848" s="175"/>
      <c r="C848" s="239"/>
      <c r="D848" s="240"/>
      <c r="E848" s="175"/>
      <c r="F848" s="175"/>
      <c r="G848" s="175"/>
      <c r="H848" s="246"/>
      <c r="I848" s="249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  <c r="AA848" s="175"/>
      <c r="AB848" s="175"/>
      <c r="AC848" s="175"/>
      <c r="AD848" s="175"/>
      <c r="AE848" s="175"/>
    </row>
    <row r="849" ht="15.75" customHeight="1" spans="1:31">
      <c r="A849" s="175"/>
      <c r="B849" s="175"/>
      <c r="C849" s="239"/>
      <c r="D849" s="240"/>
      <c r="E849" s="175"/>
      <c r="F849" s="175"/>
      <c r="G849" s="175"/>
      <c r="H849" s="246"/>
      <c r="I849" s="249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  <c r="AA849" s="175"/>
      <c r="AB849" s="175"/>
      <c r="AC849" s="175"/>
      <c r="AD849" s="175"/>
      <c r="AE849" s="175"/>
    </row>
    <row r="850" ht="15.75" customHeight="1" spans="1:31">
      <c r="A850" s="175"/>
      <c r="B850" s="175"/>
      <c r="C850" s="239"/>
      <c r="D850" s="240"/>
      <c r="E850" s="175"/>
      <c r="F850" s="175"/>
      <c r="G850" s="175"/>
      <c r="H850" s="246"/>
      <c r="I850" s="249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  <c r="AA850" s="175"/>
      <c r="AB850" s="175"/>
      <c r="AC850" s="175"/>
      <c r="AD850" s="175"/>
      <c r="AE850" s="175"/>
    </row>
    <row r="851" ht="15.75" customHeight="1" spans="1:31">
      <c r="A851" s="175"/>
      <c r="B851" s="175"/>
      <c r="C851" s="239"/>
      <c r="D851" s="240"/>
      <c r="E851" s="175"/>
      <c r="F851" s="175"/>
      <c r="G851" s="175"/>
      <c r="H851" s="246"/>
      <c r="I851" s="249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  <c r="AA851" s="175"/>
      <c r="AB851" s="175"/>
      <c r="AC851" s="175"/>
      <c r="AD851" s="175"/>
      <c r="AE851" s="175"/>
    </row>
    <row r="852" ht="15.75" customHeight="1" spans="1:31">
      <c r="A852" s="175"/>
      <c r="B852" s="175"/>
      <c r="C852" s="239"/>
      <c r="D852" s="240"/>
      <c r="E852" s="175"/>
      <c r="F852" s="175"/>
      <c r="G852" s="175"/>
      <c r="H852" s="246"/>
      <c r="I852" s="249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  <c r="AA852" s="175"/>
      <c r="AB852" s="175"/>
      <c r="AC852" s="175"/>
      <c r="AD852" s="175"/>
      <c r="AE852" s="175"/>
    </row>
    <row r="853" ht="15.75" customHeight="1" spans="1:31">
      <c r="A853" s="175"/>
      <c r="B853" s="175"/>
      <c r="C853" s="239"/>
      <c r="D853" s="240"/>
      <c r="E853" s="175"/>
      <c r="F853" s="175"/>
      <c r="G853" s="175"/>
      <c r="H853" s="246"/>
      <c r="I853" s="249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  <c r="AA853" s="175"/>
      <c r="AB853" s="175"/>
      <c r="AC853" s="175"/>
      <c r="AD853" s="175"/>
      <c r="AE853" s="175"/>
    </row>
    <row r="854" ht="15.75" customHeight="1" spans="1:31">
      <c r="A854" s="175"/>
      <c r="B854" s="175"/>
      <c r="C854" s="239"/>
      <c r="D854" s="240"/>
      <c r="E854" s="175"/>
      <c r="F854" s="175"/>
      <c r="G854" s="175"/>
      <c r="H854" s="246"/>
      <c r="I854" s="249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  <c r="AA854" s="175"/>
      <c r="AB854" s="175"/>
      <c r="AC854" s="175"/>
      <c r="AD854" s="175"/>
      <c r="AE854" s="175"/>
    </row>
    <row r="855" ht="15.75" customHeight="1" spans="1:31">
      <c r="A855" s="175"/>
      <c r="B855" s="175"/>
      <c r="C855" s="239"/>
      <c r="D855" s="240"/>
      <c r="E855" s="175"/>
      <c r="F855" s="175"/>
      <c r="G855" s="175"/>
      <c r="H855" s="246"/>
      <c r="I855" s="249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  <c r="AA855" s="175"/>
      <c r="AB855" s="175"/>
      <c r="AC855" s="175"/>
      <c r="AD855" s="175"/>
      <c r="AE855" s="175"/>
    </row>
    <row r="856" ht="15.75" customHeight="1" spans="1:31">
      <c r="A856" s="175"/>
      <c r="B856" s="175"/>
      <c r="C856" s="239"/>
      <c r="D856" s="240"/>
      <c r="E856" s="175"/>
      <c r="F856" s="175"/>
      <c r="G856" s="175"/>
      <c r="H856" s="246"/>
      <c r="I856" s="249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  <c r="AA856" s="175"/>
      <c r="AB856" s="175"/>
      <c r="AC856" s="175"/>
      <c r="AD856" s="175"/>
      <c r="AE856" s="175"/>
    </row>
    <row r="857" ht="15.75" customHeight="1" spans="1:31">
      <c r="A857" s="175"/>
      <c r="B857" s="175"/>
      <c r="C857" s="239"/>
      <c r="D857" s="240"/>
      <c r="E857" s="175"/>
      <c r="F857" s="175"/>
      <c r="G857" s="175"/>
      <c r="H857" s="246"/>
      <c r="I857" s="249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  <c r="AA857" s="175"/>
      <c r="AB857" s="175"/>
      <c r="AC857" s="175"/>
      <c r="AD857" s="175"/>
      <c r="AE857" s="175"/>
    </row>
    <row r="858" ht="15.75" customHeight="1" spans="1:31">
      <c r="A858" s="175"/>
      <c r="B858" s="175"/>
      <c r="C858" s="239"/>
      <c r="D858" s="240"/>
      <c r="E858" s="175"/>
      <c r="F858" s="175"/>
      <c r="G858" s="175"/>
      <c r="H858" s="246"/>
      <c r="I858" s="249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  <c r="AA858" s="175"/>
      <c r="AB858" s="175"/>
      <c r="AC858" s="175"/>
      <c r="AD858" s="175"/>
      <c r="AE858" s="175"/>
    </row>
    <row r="859" ht="15.75" customHeight="1" spans="1:31">
      <c r="A859" s="175"/>
      <c r="B859" s="175"/>
      <c r="C859" s="239"/>
      <c r="D859" s="240"/>
      <c r="E859" s="175"/>
      <c r="F859" s="175"/>
      <c r="G859" s="175"/>
      <c r="H859" s="246"/>
      <c r="I859" s="249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  <c r="AA859" s="175"/>
      <c r="AB859" s="175"/>
      <c r="AC859" s="175"/>
      <c r="AD859" s="175"/>
      <c r="AE859" s="175"/>
    </row>
    <row r="860" ht="15.75" customHeight="1" spans="1:31">
      <c r="A860" s="175"/>
      <c r="B860" s="175"/>
      <c r="C860" s="239"/>
      <c r="D860" s="240"/>
      <c r="E860" s="175"/>
      <c r="F860" s="175"/>
      <c r="G860" s="175"/>
      <c r="H860" s="246"/>
      <c r="I860" s="249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  <c r="AA860" s="175"/>
      <c r="AB860" s="175"/>
      <c r="AC860" s="175"/>
      <c r="AD860" s="175"/>
      <c r="AE860" s="175"/>
    </row>
    <row r="861" ht="15.75" customHeight="1" spans="1:31">
      <c r="A861" s="175"/>
      <c r="B861" s="175"/>
      <c r="C861" s="239"/>
      <c r="D861" s="240"/>
      <c r="E861" s="175"/>
      <c r="F861" s="175"/>
      <c r="G861" s="175"/>
      <c r="H861" s="246"/>
      <c r="I861" s="249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  <c r="AA861" s="175"/>
      <c r="AB861" s="175"/>
      <c r="AC861" s="175"/>
      <c r="AD861" s="175"/>
      <c r="AE861" s="175"/>
    </row>
    <row r="862" ht="15.75" customHeight="1" spans="1:31">
      <c r="A862" s="175"/>
      <c r="B862" s="175"/>
      <c r="C862" s="239"/>
      <c r="D862" s="240"/>
      <c r="E862" s="175"/>
      <c r="F862" s="175"/>
      <c r="G862" s="175"/>
      <c r="H862" s="246"/>
      <c r="I862" s="249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  <c r="AA862" s="175"/>
      <c r="AB862" s="175"/>
      <c r="AC862" s="175"/>
      <c r="AD862" s="175"/>
      <c r="AE862" s="175"/>
    </row>
    <row r="863" ht="15.75" customHeight="1" spans="1:31">
      <c r="A863" s="175"/>
      <c r="B863" s="175"/>
      <c r="C863" s="239"/>
      <c r="D863" s="240"/>
      <c r="E863" s="175"/>
      <c r="F863" s="175"/>
      <c r="G863" s="175"/>
      <c r="H863" s="246"/>
      <c r="I863" s="249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  <c r="AA863" s="175"/>
      <c r="AB863" s="175"/>
      <c r="AC863" s="175"/>
      <c r="AD863" s="175"/>
      <c r="AE863" s="175"/>
    </row>
    <row r="864" ht="15.75" customHeight="1" spans="1:31">
      <c r="A864" s="175"/>
      <c r="B864" s="175"/>
      <c r="C864" s="239"/>
      <c r="D864" s="240"/>
      <c r="E864" s="175"/>
      <c r="F864" s="175"/>
      <c r="G864" s="175"/>
      <c r="H864" s="246"/>
      <c r="I864" s="249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  <c r="AA864" s="175"/>
      <c r="AB864" s="175"/>
      <c r="AC864" s="175"/>
      <c r="AD864" s="175"/>
      <c r="AE864" s="175"/>
    </row>
    <row r="865" ht="15.75" customHeight="1" spans="1:31">
      <c r="A865" s="175"/>
      <c r="B865" s="175"/>
      <c r="C865" s="239"/>
      <c r="D865" s="240"/>
      <c r="E865" s="175"/>
      <c r="F865" s="175"/>
      <c r="G865" s="175"/>
      <c r="H865" s="246"/>
      <c r="I865" s="249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  <c r="AA865" s="175"/>
      <c r="AB865" s="175"/>
      <c r="AC865" s="175"/>
      <c r="AD865" s="175"/>
      <c r="AE865" s="175"/>
    </row>
    <row r="866" ht="15.75" customHeight="1" spans="1:31">
      <c r="A866" s="175"/>
      <c r="B866" s="175"/>
      <c r="C866" s="239"/>
      <c r="D866" s="240"/>
      <c r="E866" s="175"/>
      <c r="F866" s="175"/>
      <c r="G866" s="175"/>
      <c r="H866" s="246"/>
      <c r="I866" s="249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  <c r="AA866" s="175"/>
      <c r="AB866" s="175"/>
      <c r="AC866" s="175"/>
      <c r="AD866" s="175"/>
      <c r="AE866" s="175"/>
    </row>
    <row r="867" ht="15.75" customHeight="1" spans="1:31">
      <c r="A867" s="175"/>
      <c r="B867" s="175"/>
      <c r="C867" s="239"/>
      <c r="D867" s="240"/>
      <c r="E867" s="175"/>
      <c r="F867" s="175"/>
      <c r="G867" s="175"/>
      <c r="H867" s="246"/>
      <c r="I867" s="249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  <c r="AA867" s="175"/>
      <c r="AB867" s="175"/>
      <c r="AC867" s="175"/>
      <c r="AD867" s="175"/>
      <c r="AE867" s="175"/>
    </row>
    <row r="868" ht="15.75" customHeight="1" spans="1:31">
      <c r="A868" s="175"/>
      <c r="B868" s="175"/>
      <c r="C868" s="239"/>
      <c r="D868" s="240"/>
      <c r="E868" s="175"/>
      <c r="F868" s="175"/>
      <c r="G868" s="175"/>
      <c r="H868" s="246"/>
      <c r="I868" s="249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  <c r="AA868" s="175"/>
      <c r="AB868" s="175"/>
      <c r="AC868" s="175"/>
      <c r="AD868" s="175"/>
      <c r="AE868" s="175"/>
    </row>
    <row r="869" ht="15.75" customHeight="1" spans="1:31">
      <c r="A869" s="175"/>
      <c r="B869" s="175"/>
      <c r="C869" s="239"/>
      <c r="D869" s="240"/>
      <c r="E869" s="175"/>
      <c r="F869" s="175"/>
      <c r="G869" s="175"/>
      <c r="H869" s="246"/>
      <c r="I869" s="249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  <c r="AA869" s="175"/>
      <c r="AB869" s="175"/>
      <c r="AC869" s="175"/>
      <c r="AD869" s="175"/>
      <c r="AE869" s="175"/>
    </row>
    <row r="870" ht="15.75" customHeight="1" spans="1:31">
      <c r="A870" s="175"/>
      <c r="B870" s="175"/>
      <c r="C870" s="239"/>
      <c r="D870" s="240"/>
      <c r="E870" s="175"/>
      <c r="F870" s="175"/>
      <c r="G870" s="175"/>
      <c r="H870" s="246"/>
      <c r="I870" s="249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  <c r="AA870" s="175"/>
      <c r="AB870" s="175"/>
      <c r="AC870" s="175"/>
      <c r="AD870" s="175"/>
      <c r="AE870" s="175"/>
    </row>
    <row r="871" ht="15.75" customHeight="1" spans="1:31">
      <c r="A871" s="175"/>
      <c r="B871" s="175"/>
      <c r="C871" s="239"/>
      <c r="D871" s="240"/>
      <c r="E871" s="175"/>
      <c r="F871" s="175"/>
      <c r="G871" s="175"/>
      <c r="H871" s="246"/>
      <c r="I871" s="249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  <c r="AA871" s="175"/>
      <c r="AB871" s="175"/>
      <c r="AC871" s="175"/>
      <c r="AD871" s="175"/>
      <c r="AE871" s="175"/>
    </row>
    <row r="872" ht="15.75" customHeight="1" spans="1:31">
      <c r="A872" s="175"/>
      <c r="B872" s="175"/>
      <c r="C872" s="239"/>
      <c r="D872" s="240"/>
      <c r="E872" s="175"/>
      <c r="F872" s="175"/>
      <c r="G872" s="175"/>
      <c r="H872" s="246"/>
      <c r="I872" s="249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  <c r="AA872" s="175"/>
      <c r="AB872" s="175"/>
      <c r="AC872" s="175"/>
      <c r="AD872" s="175"/>
      <c r="AE872" s="175"/>
    </row>
    <row r="873" ht="15.75" customHeight="1" spans="1:31">
      <c r="A873" s="175"/>
      <c r="B873" s="175"/>
      <c r="C873" s="239"/>
      <c r="D873" s="240"/>
      <c r="E873" s="175"/>
      <c r="F873" s="175"/>
      <c r="G873" s="175"/>
      <c r="H873" s="246"/>
      <c r="I873" s="249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  <c r="AA873" s="175"/>
      <c r="AB873" s="175"/>
      <c r="AC873" s="175"/>
      <c r="AD873" s="175"/>
      <c r="AE873" s="175"/>
    </row>
    <row r="874" ht="15.75" customHeight="1" spans="1:31">
      <c r="A874" s="175"/>
      <c r="B874" s="175"/>
      <c r="C874" s="239"/>
      <c r="D874" s="240"/>
      <c r="E874" s="175"/>
      <c r="F874" s="175"/>
      <c r="G874" s="175"/>
      <c r="H874" s="246"/>
      <c r="I874" s="249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  <c r="AA874" s="175"/>
      <c r="AB874" s="175"/>
      <c r="AC874" s="175"/>
      <c r="AD874" s="175"/>
      <c r="AE874" s="175"/>
    </row>
    <row r="875" ht="15.75" customHeight="1" spans="1:31">
      <c r="A875" s="175"/>
      <c r="B875" s="175"/>
      <c r="C875" s="239"/>
      <c r="D875" s="240"/>
      <c r="E875" s="175"/>
      <c r="F875" s="175"/>
      <c r="G875" s="175"/>
      <c r="H875" s="246"/>
      <c r="I875" s="249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  <c r="AA875" s="175"/>
      <c r="AB875" s="175"/>
      <c r="AC875" s="175"/>
      <c r="AD875" s="175"/>
      <c r="AE875" s="175"/>
    </row>
    <row r="876" ht="15.75" customHeight="1" spans="1:31">
      <c r="A876" s="175"/>
      <c r="B876" s="175"/>
      <c r="C876" s="239"/>
      <c r="D876" s="240"/>
      <c r="E876" s="175"/>
      <c r="F876" s="175"/>
      <c r="G876" s="175"/>
      <c r="H876" s="246"/>
      <c r="I876" s="249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  <c r="AA876" s="175"/>
      <c r="AB876" s="175"/>
      <c r="AC876" s="175"/>
      <c r="AD876" s="175"/>
      <c r="AE876" s="175"/>
    </row>
    <row r="877" ht="15.75" customHeight="1" spans="1:31">
      <c r="A877" s="175"/>
      <c r="B877" s="175"/>
      <c r="C877" s="239"/>
      <c r="D877" s="240"/>
      <c r="E877" s="175"/>
      <c r="F877" s="175"/>
      <c r="G877" s="175"/>
      <c r="H877" s="246"/>
      <c r="I877" s="249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  <c r="AA877" s="175"/>
      <c r="AB877" s="175"/>
      <c r="AC877" s="175"/>
      <c r="AD877" s="175"/>
      <c r="AE877" s="175"/>
    </row>
    <row r="878" ht="15.75" customHeight="1" spans="1:31">
      <c r="A878" s="175"/>
      <c r="B878" s="175"/>
      <c r="C878" s="239"/>
      <c r="D878" s="240"/>
      <c r="E878" s="175"/>
      <c r="F878" s="175"/>
      <c r="G878" s="175"/>
      <c r="H878" s="246"/>
      <c r="I878" s="249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  <c r="AA878" s="175"/>
      <c r="AB878" s="175"/>
      <c r="AC878" s="175"/>
      <c r="AD878" s="175"/>
      <c r="AE878" s="175"/>
    </row>
    <row r="879" ht="15.75" customHeight="1" spans="1:31">
      <c r="A879" s="175"/>
      <c r="B879" s="175"/>
      <c r="C879" s="239"/>
      <c r="D879" s="240"/>
      <c r="E879" s="175"/>
      <c r="F879" s="175"/>
      <c r="G879" s="175"/>
      <c r="H879" s="246"/>
      <c r="I879" s="249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  <c r="AA879" s="175"/>
      <c r="AB879" s="175"/>
      <c r="AC879" s="175"/>
      <c r="AD879" s="175"/>
      <c r="AE879" s="175"/>
    </row>
    <row r="880" ht="15.75" customHeight="1" spans="1:31">
      <c r="A880" s="175"/>
      <c r="B880" s="175"/>
      <c r="C880" s="239"/>
      <c r="D880" s="240"/>
      <c r="E880" s="175"/>
      <c r="F880" s="175"/>
      <c r="G880" s="175"/>
      <c r="H880" s="246"/>
      <c r="I880" s="249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  <c r="AA880" s="175"/>
      <c r="AB880" s="175"/>
      <c r="AC880" s="175"/>
      <c r="AD880" s="175"/>
      <c r="AE880" s="175"/>
    </row>
    <row r="881" ht="15.75" customHeight="1" spans="1:31">
      <c r="A881" s="175"/>
      <c r="B881" s="175"/>
      <c r="C881" s="239"/>
      <c r="D881" s="240"/>
      <c r="E881" s="175"/>
      <c r="F881" s="175"/>
      <c r="G881" s="175"/>
      <c r="H881" s="246"/>
      <c r="I881" s="249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  <c r="AA881" s="175"/>
      <c r="AB881" s="175"/>
      <c r="AC881" s="175"/>
      <c r="AD881" s="175"/>
      <c r="AE881" s="175"/>
    </row>
    <row r="882" ht="15.75" customHeight="1" spans="1:31">
      <c r="A882" s="175"/>
      <c r="B882" s="175"/>
      <c r="C882" s="239"/>
      <c r="D882" s="240"/>
      <c r="E882" s="175"/>
      <c r="F882" s="175"/>
      <c r="G882" s="175"/>
      <c r="H882" s="246"/>
      <c r="I882" s="249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  <c r="AA882" s="175"/>
      <c r="AB882" s="175"/>
      <c r="AC882" s="175"/>
      <c r="AD882" s="175"/>
      <c r="AE882" s="175"/>
    </row>
    <row r="883" ht="15.75" customHeight="1" spans="1:31">
      <c r="A883" s="175"/>
      <c r="B883" s="175"/>
      <c r="C883" s="239"/>
      <c r="D883" s="240"/>
      <c r="E883" s="175"/>
      <c r="F883" s="175"/>
      <c r="G883" s="175"/>
      <c r="H883" s="246"/>
      <c r="I883" s="249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  <c r="AA883" s="175"/>
      <c r="AB883" s="175"/>
      <c r="AC883" s="175"/>
      <c r="AD883" s="175"/>
      <c r="AE883" s="175"/>
    </row>
    <row r="884" ht="15.75" customHeight="1" spans="1:31">
      <c r="A884" s="175"/>
      <c r="B884" s="175"/>
      <c r="C884" s="239"/>
      <c r="D884" s="240"/>
      <c r="E884" s="175"/>
      <c r="F884" s="175"/>
      <c r="G884" s="175"/>
      <c r="H884" s="246"/>
      <c r="I884" s="249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  <c r="AA884" s="175"/>
      <c r="AB884" s="175"/>
      <c r="AC884" s="175"/>
      <c r="AD884" s="175"/>
      <c r="AE884" s="175"/>
    </row>
    <row r="885" ht="15.75" customHeight="1" spans="1:31">
      <c r="A885" s="175"/>
      <c r="B885" s="175"/>
      <c r="C885" s="239"/>
      <c r="D885" s="240"/>
      <c r="E885" s="175"/>
      <c r="F885" s="175"/>
      <c r="G885" s="175"/>
      <c r="H885" s="246"/>
      <c r="I885" s="249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  <c r="AA885" s="175"/>
      <c r="AB885" s="175"/>
      <c r="AC885" s="175"/>
      <c r="AD885" s="175"/>
      <c r="AE885" s="175"/>
    </row>
    <row r="886" ht="15.75" customHeight="1" spans="1:31">
      <c r="A886" s="175"/>
      <c r="B886" s="175"/>
      <c r="C886" s="239"/>
      <c r="D886" s="240"/>
      <c r="E886" s="175"/>
      <c r="F886" s="175"/>
      <c r="G886" s="175"/>
      <c r="H886" s="246"/>
      <c r="I886" s="249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  <c r="AA886" s="175"/>
      <c r="AB886" s="175"/>
      <c r="AC886" s="175"/>
      <c r="AD886" s="175"/>
      <c r="AE886" s="175"/>
    </row>
    <row r="887" ht="15.75" customHeight="1" spans="1:31">
      <c r="A887" s="175"/>
      <c r="B887" s="175"/>
      <c r="C887" s="239"/>
      <c r="D887" s="240"/>
      <c r="E887" s="175"/>
      <c r="F887" s="175"/>
      <c r="G887" s="175"/>
      <c r="H887" s="246"/>
      <c r="I887" s="249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  <c r="AA887" s="175"/>
      <c r="AB887" s="175"/>
      <c r="AC887" s="175"/>
      <c r="AD887" s="175"/>
      <c r="AE887" s="175"/>
    </row>
    <row r="888" ht="15.75" customHeight="1" spans="1:31">
      <c r="A888" s="175"/>
      <c r="B888" s="175"/>
      <c r="C888" s="239"/>
      <c r="D888" s="240"/>
      <c r="E888" s="175"/>
      <c r="F888" s="175"/>
      <c r="G888" s="175"/>
      <c r="H888" s="246"/>
      <c r="I888" s="249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  <c r="AA888" s="175"/>
      <c r="AB888" s="175"/>
      <c r="AC888" s="175"/>
      <c r="AD888" s="175"/>
      <c r="AE888" s="175"/>
    </row>
    <row r="889" ht="15.75" customHeight="1" spans="1:31">
      <c r="A889" s="175"/>
      <c r="B889" s="175"/>
      <c r="C889" s="239"/>
      <c r="D889" s="240"/>
      <c r="E889" s="175"/>
      <c r="F889" s="175"/>
      <c r="G889" s="175"/>
      <c r="H889" s="246"/>
      <c r="I889" s="249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  <c r="AA889" s="175"/>
      <c r="AB889" s="175"/>
      <c r="AC889" s="175"/>
      <c r="AD889" s="175"/>
      <c r="AE889" s="175"/>
    </row>
    <row r="890" ht="15.75" customHeight="1" spans="1:31">
      <c r="A890" s="175"/>
      <c r="B890" s="175"/>
      <c r="C890" s="239"/>
      <c r="D890" s="240"/>
      <c r="E890" s="175"/>
      <c r="F890" s="175"/>
      <c r="G890" s="175"/>
      <c r="H890" s="246"/>
      <c r="I890" s="249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  <c r="AA890" s="175"/>
      <c r="AB890" s="175"/>
      <c r="AC890" s="175"/>
      <c r="AD890" s="175"/>
      <c r="AE890" s="175"/>
    </row>
    <row r="891" ht="15.75" customHeight="1" spans="1:31">
      <c r="A891" s="175"/>
      <c r="B891" s="175"/>
      <c r="C891" s="239"/>
      <c r="D891" s="240"/>
      <c r="E891" s="175"/>
      <c r="F891" s="175"/>
      <c r="G891" s="175"/>
      <c r="H891" s="246"/>
      <c r="I891" s="249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  <c r="AA891" s="175"/>
      <c r="AB891" s="175"/>
      <c r="AC891" s="175"/>
      <c r="AD891" s="175"/>
      <c r="AE891" s="175"/>
    </row>
    <row r="892" ht="15.75" customHeight="1" spans="1:31">
      <c r="A892" s="175"/>
      <c r="B892" s="175"/>
      <c r="C892" s="239"/>
      <c r="D892" s="240"/>
      <c r="E892" s="175"/>
      <c r="F892" s="175"/>
      <c r="G892" s="175"/>
      <c r="H892" s="246"/>
      <c r="I892" s="249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  <c r="AA892" s="175"/>
      <c r="AB892" s="175"/>
      <c r="AC892" s="175"/>
      <c r="AD892" s="175"/>
      <c r="AE892" s="175"/>
    </row>
    <row r="893" ht="15.75" customHeight="1" spans="1:31">
      <c r="A893" s="175"/>
      <c r="B893" s="175"/>
      <c r="C893" s="239"/>
      <c r="D893" s="240"/>
      <c r="E893" s="175"/>
      <c r="F893" s="175"/>
      <c r="G893" s="175"/>
      <c r="H893" s="246"/>
      <c r="I893" s="249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  <c r="AA893" s="175"/>
      <c r="AB893" s="175"/>
      <c r="AC893" s="175"/>
      <c r="AD893" s="175"/>
      <c r="AE893" s="175"/>
    </row>
    <row r="894" ht="15.75" customHeight="1" spans="1:31">
      <c r="A894" s="175"/>
      <c r="B894" s="175"/>
      <c r="C894" s="239"/>
      <c r="D894" s="240"/>
      <c r="E894" s="175"/>
      <c r="F894" s="175"/>
      <c r="G894" s="175"/>
      <c r="H894" s="246"/>
      <c r="I894" s="249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  <c r="AA894" s="175"/>
      <c r="AB894" s="175"/>
      <c r="AC894" s="175"/>
      <c r="AD894" s="175"/>
      <c r="AE894" s="175"/>
    </row>
    <row r="895" ht="15.75" customHeight="1" spans="1:31">
      <c r="A895" s="175"/>
      <c r="B895" s="175"/>
      <c r="C895" s="239"/>
      <c r="D895" s="240"/>
      <c r="E895" s="175"/>
      <c r="F895" s="175"/>
      <c r="G895" s="175"/>
      <c r="H895" s="246"/>
      <c r="I895" s="249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  <c r="AA895" s="175"/>
      <c r="AB895" s="175"/>
      <c r="AC895" s="175"/>
      <c r="AD895" s="175"/>
      <c r="AE895" s="175"/>
    </row>
    <row r="896" ht="15.75" customHeight="1" spans="1:31">
      <c r="A896" s="175"/>
      <c r="B896" s="175"/>
      <c r="C896" s="239"/>
      <c r="D896" s="240"/>
      <c r="E896" s="175"/>
      <c r="F896" s="175"/>
      <c r="G896" s="175"/>
      <c r="H896" s="246"/>
      <c r="I896" s="249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  <c r="AA896" s="175"/>
      <c r="AB896" s="175"/>
      <c r="AC896" s="175"/>
      <c r="AD896" s="175"/>
      <c r="AE896" s="175"/>
    </row>
    <row r="897" ht="15.75" customHeight="1" spans="1:31">
      <c r="A897" s="175"/>
      <c r="B897" s="175"/>
      <c r="C897" s="239"/>
      <c r="D897" s="240"/>
      <c r="E897" s="175"/>
      <c r="F897" s="175"/>
      <c r="G897" s="175"/>
      <c r="H897" s="246"/>
      <c r="I897" s="249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  <c r="AA897" s="175"/>
      <c r="AB897" s="175"/>
      <c r="AC897" s="175"/>
      <c r="AD897" s="175"/>
      <c r="AE897" s="175"/>
    </row>
    <row r="898" ht="15.75" customHeight="1" spans="1:31">
      <c r="A898" s="175"/>
      <c r="B898" s="175"/>
      <c r="C898" s="239"/>
      <c r="D898" s="240"/>
      <c r="E898" s="175"/>
      <c r="F898" s="175"/>
      <c r="G898" s="175"/>
      <c r="H898" s="246"/>
      <c r="I898" s="249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  <c r="AA898" s="175"/>
      <c r="AB898" s="175"/>
      <c r="AC898" s="175"/>
      <c r="AD898" s="175"/>
      <c r="AE898" s="175"/>
    </row>
    <row r="899" ht="15.75" customHeight="1" spans="1:31">
      <c r="A899" s="175"/>
      <c r="B899" s="175"/>
      <c r="C899" s="239"/>
      <c r="D899" s="240"/>
      <c r="E899" s="175"/>
      <c r="F899" s="175"/>
      <c r="G899" s="175"/>
      <c r="H899" s="246"/>
      <c r="I899" s="249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  <c r="AA899" s="175"/>
      <c r="AB899" s="175"/>
      <c r="AC899" s="175"/>
      <c r="AD899" s="175"/>
      <c r="AE899" s="175"/>
    </row>
    <row r="900" ht="15.75" customHeight="1" spans="1:31">
      <c r="A900" s="175"/>
      <c r="B900" s="175"/>
      <c r="C900" s="239"/>
      <c r="D900" s="240"/>
      <c r="E900" s="175"/>
      <c r="F900" s="175"/>
      <c r="G900" s="175"/>
      <c r="H900" s="246"/>
      <c r="I900" s="249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  <c r="AA900" s="175"/>
      <c r="AB900" s="175"/>
      <c r="AC900" s="175"/>
      <c r="AD900" s="175"/>
      <c r="AE900" s="175"/>
    </row>
    <row r="901" ht="15.75" customHeight="1" spans="1:31">
      <c r="A901" s="175"/>
      <c r="B901" s="175"/>
      <c r="C901" s="239"/>
      <c r="D901" s="240"/>
      <c r="E901" s="175"/>
      <c r="F901" s="175"/>
      <c r="G901" s="175"/>
      <c r="H901" s="246"/>
      <c r="I901" s="249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  <c r="AA901" s="175"/>
      <c r="AB901" s="175"/>
      <c r="AC901" s="175"/>
      <c r="AD901" s="175"/>
      <c r="AE901" s="175"/>
    </row>
    <row r="902" ht="15.75" customHeight="1" spans="1:31">
      <c r="A902" s="175"/>
      <c r="B902" s="175"/>
      <c r="C902" s="239"/>
      <c r="D902" s="240"/>
      <c r="E902" s="175"/>
      <c r="F902" s="175"/>
      <c r="G902" s="175"/>
      <c r="H902" s="246"/>
      <c r="I902" s="249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  <c r="AA902" s="175"/>
      <c r="AB902" s="175"/>
      <c r="AC902" s="175"/>
      <c r="AD902" s="175"/>
      <c r="AE902" s="175"/>
    </row>
    <row r="903" ht="15.75" customHeight="1" spans="1:31">
      <c r="A903" s="175"/>
      <c r="B903" s="175"/>
      <c r="C903" s="239"/>
      <c r="D903" s="240"/>
      <c r="E903" s="175"/>
      <c r="F903" s="175"/>
      <c r="G903" s="175"/>
      <c r="H903" s="246"/>
      <c r="I903" s="249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  <c r="AA903" s="175"/>
      <c r="AB903" s="175"/>
      <c r="AC903" s="175"/>
      <c r="AD903" s="175"/>
      <c r="AE903" s="175"/>
    </row>
    <row r="904" ht="15.75" customHeight="1" spans="1:31">
      <c r="A904" s="175"/>
      <c r="B904" s="175"/>
      <c r="C904" s="239"/>
      <c r="D904" s="240"/>
      <c r="E904" s="175"/>
      <c r="F904" s="175"/>
      <c r="G904" s="175"/>
      <c r="H904" s="246"/>
      <c r="I904" s="249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  <c r="AA904" s="175"/>
      <c r="AB904" s="175"/>
      <c r="AC904" s="175"/>
      <c r="AD904" s="175"/>
      <c r="AE904" s="175"/>
    </row>
    <row r="905" ht="15.75" customHeight="1" spans="1:31">
      <c r="A905" s="175"/>
      <c r="B905" s="175"/>
      <c r="C905" s="239"/>
      <c r="D905" s="240"/>
      <c r="E905" s="175"/>
      <c r="F905" s="175"/>
      <c r="G905" s="175"/>
      <c r="H905" s="246"/>
      <c r="I905" s="249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  <c r="AA905" s="175"/>
      <c r="AB905" s="175"/>
      <c r="AC905" s="175"/>
      <c r="AD905" s="175"/>
      <c r="AE905" s="175"/>
    </row>
    <row r="906" ht="15.75" customHeight="1" spans="1:31">
      <c r="A906" s="175"/>
      <c r="B906" s="175"/>
      <c r="C906" s="239"/>
      <c r="D906" s="240"/>
      <c r="E906" s="175"/>
      <c r="F906" s="175"/>
      <c r="G906" s="175"/>
      <c r="H906" s="246"/>
      <c r="I906" s="249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  <c r="AA906" s="175"/>
      <c r="AB906" s="175"/>
      <c r="AC906" s="175"/>
      <c r="AD906" s="175"/>
      <c r="AE906" s="175"/>
    </row>
    <row r="907" ht="15.75" customHeight="1" spans="1:31">
      <c r="A907" s="175"/>
      <c r="B907" s="175"/>
      <c r="C907" s="239"/>
      <c r="D907" s="240"/>
      <c r="E907" s="175"/>
      <c r="F907" s="175"/>
      <c r="G907" s="175"/>
      <c r="H907" s="246"/>
      <c r="I907" s="249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  <c r="AA907" s="175"/>
      <c r="AB907" s="175"/>
      <c r="AC907" s="175"/>
      <c r="AD907" s="175"/>
      <c r="AE907" s="175"/>
    </row>
    <row r="908" ht="15.75" customHeight="1" spans="1:31">
      <c r="A908" s="175"/>
      <c r="B908" s="175"/>
      <c r="C908" s="239"/>
      <c r="D908" s="240"/>
      <c r="E908" s="175"/>
      <c r="F908" s="175"/>
      <c r="G908" s="175"/>
      <c r="H908" s="246"/>
      <c r="I908" s="249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  <c r="AA908" s="175"/>
      <c r="AB908" s="175"/>
      <c r="AC908" s="175"/>
      <c r="AD908" s="175"/>
      <c r="AE908" s="175"/>
    </row>
    <row r="909" ht="15.75" customHeight="1" spans="1:31">
      <c r="A909" s="175"/>
      <c r="B909" s="175"/>
      <c r="C909" s="239"/>
      <c r="D909" s="240"/>
      <c r="E909" s="175"/>
      <c r="F909" s="175"/>
      <c r="G909" s="175"/>
      <c r="H909" s="246"/>
      <c r="I909" s="249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  <c r="AA909" s="175"/>
      <c r="AB909" s="175"/>
      <c r="AC909" s="175"/>
      <c r="AD909" s="175"/>
      <c r="AE909" s="175"/>
    </row>
    <row r="910" ht="15.75" customHeight="1" spans="1:31">
      <c r="A910" s="175"/>
      <c r="B910" s="175"/>
      <c r="C910" s="239"/>
      <c r="D910" s="240"/>
      <c r="E910" s="175"/>
      <c r="F910" s="175"/>
      <c r="G910" s="175"/>
      <c r="H910" s="246"/>
      <c r="I910" s="249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  <c r="AA910" s="175"/>
      <c r="AB910" s="175"/>
      <c r="AC910" s="175"/>
      <c r="AD910" s="175"/>
      <c r="AE910" s="175"/>
    </row>
    <row r="911" ht="15.75" customHeight="1" spans="1:31">
      <c r="A911" s="175"/>
      <c r="B911" s="175"/>
      <c r="C911" s="239"/>
      <c r="D911" s="240"/>
      <c r="E911" s="175"/>
      <c r="F911" s="175"/>
      <c r="G911" s="175"/>
      <c r="H911" s="246"/>
      <c r="I911" s="249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  <c r="AA911" s="175"/>
      <c r="AB911" s="175"/>
      <c r="AC911" s="175"/>
      <c r="AD911" s="175"/>
      <c r="AE911" s="175"/>
    </row>
    <row r="912" ht="15.75" customHeight="1" spans="1:31">
      <c r="A912" s="175"/>
      <c r="B912" s="175"/>
      <c r="C912" s="239"/>
      <c r="D912" s="240"/>
      <c r="E912" s="175"/>
      <c r="F912" s="175"/>
      <c r="G912" s="175"/>
      <c r="H912" s="246"/>
      <c r="I912" s="249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  <c r="AA912" s="175"/>
      <c r="AB912" s="175"/>
      <c r="AC912" s="175"/>
      <c r="AD912" s="175"/>
      <c r="AE912" s="175"/>
    </row>
    <row r="913" ht="15.75" customHeight="1" spans="1:31">
      <c r="A913" s="175"/>
      <c r="B913" s="175"/>
      <c r="C913" s="239"/>
      <c r="D913" s="240"/>
      <c r="E913" s="175"/>
      <c r="F913" s="175"/>
      <c r="G913" s="175"/>
      <c r="H913" s="246"/>
      <c r="I913" s="249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  <c r="AA913" s="175"/>
      <c r="AB913" s="175"/>
      <c r="AC913" s="175"/>
      <c r="AD913" s="175"/>
      <c r="AE913" s="175"/>
    </row>
    <row r="914" ht="15.75" customHeight="1" spans="1:31">
      <c r="A914" s="175"/>
      <c r="B914" s="175"/>
      <c r="C914" s="239"/>
      <c r="D914" s="240"/>
      <c r="E914" s="175"/>
      <c r="F914" s="175"/>
      <c r="G914" s="175"/>
      <c r="H914" s="246"/>
      <c r="I914" s="249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  <c r="AA914" s="175"/>
      <c r="AB914" s="175"/>
      <c r="AC914" s="175"/>
      <c r="AD914" s="175"/>
      <c r="AE914" s="175"/>
    </row>
    <row r="915" ht="15.75" customHeight="1" spans="1:31">
      <c r="A915" s="175"/>
      <c r="B915" s="175"/>
      <c r="C915" s="239"/>
      <c r="D915" s="240"/>
      <c r="E915" s="175"/>
      <c r="F915" s="175"/>
      <c r="G915" s="175"/>
      <c r="H915" s="246"/>
      <c r="I915" s="249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  <c r="AA915" s="175"/>
      <c r="AB915" s="175"/>
      <c r="AC915" s="175"/>
      <c r="AD915" s="175"/>
      <c r="AE915" s="175"/>
    </row>
    <row r="916" ht="15.75" customHeight="1" spans="1:31">
      <c r="A916" s="175"/>
      <c r="B916" s="175"/>
      <c r="C916" s="239"/>
      <c r="D916" s="240"/>
      <c r="E916" s="175"/>
      <c r="F916" s="175"/>
      <c r="G916" s="175"/>
      <c r="H916" s="246"/>
      <c r="I916" s="249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  <c r="AA916" s="175"/>
      <c r="AB916" s="175"/>
      <c r="AC916" s="175"/>
      <c r="AD916" s="175"/>
      <c r="AE916" s="175"/>
    </row>
    <row r="917" ht="15.75" customHeight="1" spans="1:31">
      <c r="A917" s="175"/>
      <c r="B917" s="175"/>
      <c r="C917" s="239"/>
      <c r="D917" s="240"/>
      <c r="E917" s="175"/>
      <c r="F917" s="175"/>
      <c r="G917" s="175"/>
      <c r="H917" s="246"/>
      <c r="I917" s="249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  <c r="AA917" s="175"/>
      <c r="AB917" s="175"/>
      <c r="AC917" s="175"/>
      <c r="AD917" s="175"/>
      <c r="AE917" s="175"/>
    </row>
    <row r="918" ht="15.75" customHeight="1" spans="1:31">
      <c r="A918" s="175"/>
      <c r="B918" s="175"/>
      <c r="C918" s="239"/>
      <c r="D918" s="240"/>
      <c r="E918" s="175"/>
      <c r="F918" s="175"/>
      <c r="G918" s="175"/>
      <c r="H918" s="246"/>
      <c r="I918" s="249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  <c r="AA918" s="175"/>
      <c r="AB918" s="175"/>
      <c r="AC918" s="175"/>
      <c r="AD918" s="175"/>
      <c r="AE918" s="175"/>
    </row>
    <row r="919" ht="15.75" customHeight="1" spans="1:31">
      <c r="A919" s="175"/>
      <c r="B919" s="175"/>
      <c r="C919" s="239"/>
      <c r="D919" s="240"/>
      <c r="E919" s="175"/>
      <c r="F919" s="175"/>
      <c r="G919" s="175"/>
      <c r="H919" s="246"/>
      <c r="I919" s="249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  <c r="AA919" s="175"/>
      <c r="AB919" s="175"/>
      <c r="AC919" s="175"/>
      <c r="AD919" s="175"/>
      <c r="AE919" s="175"/>
    </row>
    <row r="920" ht="15.75" customHeight="1" spans="1:31">
      <c r="A920" s="175"/>
      <c r="B920" s="175"/>
      <c r="C920" s="239"/>
      <c r="D920" s="240"/>
      <c r="E920" s="175"/>
      <c r="F920" s="175"/>
      <c r="G920" s="175"/>
      <c r="H920" s="246"/>
      <c r="I920" s="249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  <c r="AA920" s="175"/>
      <c r="AB920" s="175"/>
      <c r="AC920" s="175"/>
      <c r="AD920" s="175"/>
      <c r="AE920" s="175"/>
    </row>
    <row r="921" ht="15.75" customHeight="1" spans="1:31">
      <c r="A921" s="175"/>
      <c r="B921" s="175"/>
      <c r="C921" s="239"/>
      <c r="D921" s="240"/>
      <c r="E921" s="175"/>
      <c r="F921" s="175"/>
      <c r="G921" s="175"/>
      <c r="H921" s="246"/>
      <c r="I921" s="249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  <c r="AA921" s="175"/>
      <c r="AB921" s="175"/>
      <c r="AC921" s="175"/>
      <c r="AD921" s="175"/>
      <c r="AE921" s="175"/>
    </row>
    <row r="922" ht="15.75" customHeight="1" spans="1:31">
      <c r="A922" s="175"/>
      <c r="B922" s="175"/>
      <c r="C922" s="239"/>
      <c r="D922" s="240"/>
      <c r="E922" s="175"/>
      <c r="F922" s="175"/>
      <c r="G922" s="175"/>
      <c r="H922" s="246"/>
      <c r="I922" s="249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  <c r="AA922" s="175"/>
      <c r="AB922" s="175"/>
      <c r="AC922" s="175"/>
      <c r="AD922" s="175"/>
      <c r="AE922" s="175"/>
    </row>
    <row r="923" ht="15.75" customHeight="1" spans="1:31">
      <c r="A923" s="175"/>
      <c r="B923" s="175"/>
      <c r="C923" s="239"/>
      <c r="D923" s="240"/>
      <c r="E923" s="175"/>
      <c r="F923" s="175"/>
      <c r="G923" s="175"/>
      <c r="H923" s="246"/>
      <c r="I923" s="249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  <c r="AA923" s="175"/>
      <c r="AB923" s="175"/>
      <c r="AC923" s="175"/>
      <c r="AD923" s="175"/>
      <c r="AE923" s="175"/>
    </row>
    <row r="924" ht="15.75" customHeight="1" spans="1:31">
      <c r="A924" s="175"/>
      <c r="B924" s="175"/>
      <c r="C924" s="239"/>
      <c r="D924" s="240"/>
      <c r="E924" s="175"/>
      <c r="F924" s="175"/>
      <c r="G924" s="175"/>
      <c r="H924" s="246"/>
      <c r="I924" s="249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  <c r="AA924" s="175"/>
      <c r="AB924" s="175"/>
      <c r="AC924" s="175"/>
      <c r="AD924" s="175"/>
      <c r="AE924" s="175"/>
    </row>
    <row r="925" ht="15.75" customHeight="1" spans="1:31">
      <c r="A925" s="175"/>
      <c r="B925" s="175"/>
      <c r="C925" s="239"/>
      <c r="D925" s="240"/>
      <c r="E925" s="175"/>
      <c r="F925" s="175"/>
      <c r="G925" s="175"/>
      <c r="H925" s="246"/>
      <c r="I925" s="249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  <c r="AA925" s="175"/>
      <c r="AB925" s="175"/>
      <c r="AC925" s="175"/>
      <c r="AD925" s="175"/>
      <c r="AE925" s="175"/>
    </row>
    <row r="926" ht="15.75" customHeight="1" spans="1:31">
      <c r="A926" s="175"/>
      <c r="B926" s="175"/>
      <c r="C926" s="239"/>
      <c r="D926" s="240"/>
      <c r="E926" s="175"/>
      <c r="F926" s="175"/>
      <c r="G926" s="175"/>
      <c r="H926" s="246"/>
      <c r="I926" s="249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  <c r="AA926" s="175"/>
      <c r="AB926" s="175"/>
      <c r="AC926" s="175"/>
      <c r="AD926" s="175"/>
      <c r="AE926" s="175"/>
    </row>
    <row r="927" ht="15.75" customHeight="1" spans="1:31">
      <c r="A927" s="175"/>
      <c r="B927" s="175"/>
      <c r="C927" s="239"/>
      <c r="D927" s="240"/>
      <c r="E927" s="175"/>
      <c r="F927" s="175"/>
      <c r="G927" s="175"/>
      <c r="H927" s="246"/>
      <c r="I927" s="249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  <c r="AA927" s="175"/>
      <c r="AB927" s="175"/>
      <c r="AC927" s="175"/>
      <c r="AD927" s="175"/>
      <c r="AE927" s="175"/>
    </row>
    <row r="928" ht="15.75" customHeight="1" spans="1:31">
      <c r="A928" s="175"/>
      <c r="B928" s="175"/>
      <c r="C928" s="239"/>
      <c r="D928" s="240"/>
      <c r="E928" s="175"/>
      <c r="F928" s="175"/>
      <c r="G928" s="175"/>
      <c r="H928" s="246"/>
      <c r="I928" s="249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  <c r="AA928" s="175"/>
      <c r="AB928" s="175"/>
      <c r="AC928" s="175"/>
      <c r="AD928" s="175"/>
      <c r="AE928" s="175"/>
    </row>
    <row r="929" ht="15.75" customHeight="1" spans="1:31">
      <c r="A929" s="175"/>
      <c r="B929" s="175"/>
      <c r="C929" s="239"/>
      <c r="D929" s="240"/>
      <c r="E929" s="175"/>
      <c r="F929" s="175"/>
      <c r="G929" s="175"/>
      <c r="H929" s="246"/>
      <c r="I929" s="249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  <c r="AA929" s="175"/>
      <c r="AB929" s="175"/>
      <c r="AC929" s="175"/>
      <c r="AD929" s="175"/>
      <c r="AE929" s="175"/>
    </row>
    <row r="930" ht="15.75" customHeight="1" spans="1:31">
      <c r="A930" s="175"/>
      <c r="B930" s="175"/>
      <c r="C930" s="239"/>
      <c r="D930" s="240"/>
      <c r="E930" s="175"/>
      <c r="F930" s="175"/>
      <c r="G930" s="175"/>
      <c r="H930" s="246"/>
      <c r="I930" s="249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  <c r="AA930" s="175"/>
      <c r="AB930" s="175"/>
      <c r="AC930" s="175"/>
      <c r="AD930" s="175"/>
      <c r="AE930" s="175"/>
    </row>
    <row r="931" ht="15.75" customHeight="1" spans="1:31">
      <c r="A931" s="175"/>
      <c r="B931" s="175"/>
      <c r="C931" s="239"/>
      <c r="D931" s="240"/>
      <c r="E931" s="175"/>
      <c r="F931" s="175"/>
      <c r="G931" s="175"/>
      <c r="H931" s="246"/>
      <c r="I931" s="249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  <c r="AA931" s="175"/>
      <c r="AB931" s="175"/>
      <c r="AC931" s="175"/>
      <c r="AD931" s="175"/>
      <c r="AE931" s="175"/>
    </row>
    <row r="932" ht="15.75" customHeight="1" spans="1:31">
      <c r="A932" s="175"/>
      <c r="B932" s="175"/>
      <c r="C932" s="239"/>
      <c r="D932" s="240"/>
      <c r="E932" s="175"/>
      <c r="F932" s="175"/>
      <c r="G932" s="175"/>
      <c r="H932" s="246"/>
      <c r="I932" s="249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  <c r="AA932" s="175"/>
      <c r="AB932" s="175"/>
      <c r="AC932" s="175"/>
      <c r="AD932" s="175"/>
      <c r="AE932" s="175"/>
    </row>
    <row r="933" ht="15.75" customHeight="1" spans="1:31">
      <c r="A933" s="175"/>
      <c r="B933" s="175"/>
      <c r="C933" s="239"/>
      <c r="D933" s="240"/>
      <c r="E933" s="175"/>
      <c r="F933" s="175"/>
      <c r="G933" s="175"/>
      <c r="H933" s="246"/>
      <c r="I933" s="249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  <c r="AA933" s="175"/>
      <c r="AB933" s="175"/>
      <c r="AC933" s="175"/>
      <c r="AD933" s="175"/>
      <c r="AE933" s="175"/>
    </row>
    <row r="934" ht="15.75" customHeight="1" spans="1:31">
      <c r="A934" s="175"/>
      <c r="B934" s="175"/>
      <c r="C934" s="239"/>
      <c r="D934" s="240"/>
      <c r="E934" s="175"/>
      <c r="F934" s="175"/>
      <c r="G934" s="175"/>
      <c r="H934" s="246"/>
      <c r="I934" s="249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  <c r="AA934" s="175"/>
      <c r="AB934" s="175"/>
      <c r="AC934" s="175"/>
      <c r="AD934" s="175"/>
      <c r="AE934" s="175"/>
    </row>
    <row r="935" ht="15.75" customHeight="1" spans="1:31">
      <c r="A935" s="175"/>
      <c r="B935" s="175"/>
      <c r="C935" s="239"/>
      <c r="D935" s="240"/>
      <c r="E935" s="175"/>
      <c r="F935" s="175"/>
      <c r="G935" s="175"/>
      <c r="H935" s="246"/>
      <c r="I935" s="249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  <c r="AA935" s="175"/>
      <c r="AB935" s="175"/>
      <c r="AC935" s="175"/>
      <c r="AD935" s="175"/>
      <c r="AE935" s="175"/>
    </row>
    <row r="936" ht="15.75" customHeight="1" spans="1:31">
      <c r="A936" s="175"/>
      <c r="B936" s="175"/>
      <c r="C936" s="239"/>
      <c r="D936" s="240"/>
      <c r="E936" s="175"/>
      <c r="F936" s="175"/>
      <c r="G936" s="175"/>
      <c r="H936" s="246"/>
      <c r="I936" s="249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  <c r="AA936" s="175"/>
      <c r="AB936" s="175"/>
      <c r="AC936" s="175"/>
      <c r="AD936" s="175"/>
      <c r="AE936" s="175"/>
    </row>
    <row r="937" ht="15.75" customHeight="1" spans="1:31">
      <c r="A937" s="175"/>
      <c r="B937" s="175"/>
      <c r="C937" s="239"/>
      <c r="D937" s="240"/>
      <c r="E937" s="175"/>
      <c r="F937" s="175"/>
      <c r="G937" s="175"/>
      <c r="H937" s="246"/>
      <c r="I937" s="249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  <c r="AA937" s="175"/>
      <c r="AB937" s="175"/>
      <c r="AC937" s="175"/>
      <c r="AD937" s="175"/>
      <c r="AE937" s="175"/>
    </row>
    <row r="938" ht="15.75" customHeight="1" spans="1:31">
      <c r="A938" s="175"/>
      <c r="B938" s="175"/>
      <c r="C938" s="239"/>
      <c r="D938" s="240"/>
      <c r="E938" s="175"/>
      <c r="F938" s="175"/>
      <c r="G938" s="175"/>
      <c r="H938" s="246"/>
      <c r="I938" s="249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  <c r="AA938" s="175"/>
      <c r="AB938" s="175"/>
      <c r="AC938" s="175"/>
      <c r="AD938" s="175"/>
      <c r="AE938" s="175"/>
    </row>
    <row r="939" ht="15.75" customHeight="1" spans="1:31">
      <c r="A939" s="175"/>
      <c r="B939" s="175"/>
      <c r="C939" s="239"/>
      <c r="D939" s="240"/>
      <c r="E939" s="175"/>
      <c r="F939" s="175"/>
      <c r="G939" s="175"/>
      <c r="H939" s="246"/>
      <c r="I939" s="249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  <c r="AA939" s="175"/>
      <c r="AB939" s="175"/>
      <c r="AC939" s="175"/>
      <c r="AD939" s="175"/>
      <c r="AE939" s="175"/>
    </row>
    <row r="940" ht="15.75" customHeight="1" spans="1:31">
      <c r="A940" s="175"/>
      <c r="B940" s="175"/>
      <c r="C940" s="239"/>
      <c r="D940" s="240"/>
      <c r="E940" s="175"/>
      <c r="F940" s="175"/>
      <c r="G940" s="175"/>
      <c r="H940" s="246"/>
      <c r="I940" s="249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  <c r="AA940" s="175"/>
      <c r="AB940" s="175"/>
      <c r="AC940" s="175"/>
      <c r="AD940" s="175"/>
      <c r="AE940" s="175"/>
    </row>
    <row r="941" ht="15.75" customHeight="1" spans="1:31">
      <c r="A941" s="175"/>
      <c r="B941" s="175"/>
      <c r="C941" s="239"/>
      <c r="D941" s="240"/>
      <c r="E941" s="175"/>
      <c r="F941" s="175"/>
      <c r="G941" s="175"/>
      <c r="H941" s="246"/>
      <c r="I941" s="249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  <c r="AA941" s="175"/>
      <c r="AB941" s="175"/>
      <c r="AC941" s="175"/>
      <c r="AD941" s="175"/>
      <c r="AE941" s="175"/>
    </row>
    <row r="942" ht="15.75" customHeight="1" spans="1:31">
      <c r="A942" s="175"/>
      <c r="B942" s="175"/>
      <c r="C942" s="239"/>
      <c r="D942" s="240"/>
      <c r="E942" s="175"/>
      <c r="F942" s="175"/>
      <c r="G942" s="175"/>
      <c r="H942" s="246"/>
      <c r="I942" s="249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  <c r="AA942" s="175"/>
      <c r="AB942" s="175"/>
      <c r="AC942" s="175"/>
      <c r="AD942" s="175"/>
      <c r="AE942" s="175"/>
    </row>
    <row r="943" ht="15.75" customHeight="1" spans="1:31">
      <c r="A943" s="175"/>
      <c r="B943" s="175"/>
      <c r="C943" s="239"/>
      <c r="D943" s="240"/>
      <c r="E943" s="175"/>
      <c r="F943" s="175"/>
      <c r="G943" s="175"/>
      <c r="H943" s="246"/>
      <c r="I943" s="249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  <c r="AA943" s="175"/>
      <c r="AB943" s="175"/>
      <c r="AC943" s="175"/>
      <c r="AD943" s="175"/>
      <c r="AE943" s="175"/>
    </row>
    <row r="944" ht="15.75" customHeight="1" spans="1:31">
      <c r="A944" s="175"/>
      <c r="B944" s="175"/>
      <c r="C944" s="239"/>
      <c r="D944" s="240"/>
      <c r="E944" s="175"/>
      <c r="F944" s="175"/>
      <c r="G944" s="175"/>
      <c r="H944" s="246"/>
      <c r="I944" s="249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  <c r="AA944" s="175"/>
      <c r="AB944" s="175"/>
      <c r="AC944" s="175"/>
      <c r="AD944" s="175"/>
      <c r="AE944" s="175"/>
    </row>
    <row r="945" ht="15.75" customHeight="1" spans="1:31">
      <c r="A945" s="175"/>
      <c r="B945" s="175"/>
      <c r="C945" s="239"/>
      <c r="D945" s="240"/>
      <c r="E945" s="175"/>
      <c r="F945" s="175"/>
      <c r="G945" s="175"/>
      <c r="H945" s="246"/>
      <c r="I945" s="249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  <c r="AA945" s="175"/>
      <c r="AB945" s="175"/>
      <c r="AC945" s="175"/>
      <c r="AD945" s="175"/>
      <c r="AE945" s="175"/>
    </row>
    <row r="946" ht="15.75" customHeight="1" spans="1:31">
      <c r="A946" s="175"/>
      <c r="B946" s="175"/>
      <c r="C946" s="239"/>
      <c r="D946" s="240"/>
      <c r="E946" s="175"/>
      <c r="F946" s="175"/>
      <c r="G946" s="175"/>
      <c r="H946" s="246"/>
      <c r="I946" s="249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  <c r="AA946" s="175"/>
      <c r="AB946" s="175"/>
      <c r="AC946" s="175"/>
      <c r="AD946" s="175"/>
      <c r="AE946" s="175"/>
    </row>
    <row r="947" ht="15.75" customHeight="1" spans="1:31">
      <c r="A947" s="175"/>
      <c r="B947" s="175"/>
      <c r="C947" s="239"/>
      <c r="D947" s="240"/>
      <c r="E947" s="175"/>
      <c r="F947" s="175"/>
      <c r="G947" s="175"/>
      <c r="H947" s="246"/>
      <c r="I947" s="249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  <c r="AA947" s="175"/>
      <c r="AB947" s="175"/>
      <c r="AC947" s="175"/>
      <c r="AD947" s="175"/>
      <c r="AE947" s="175"/>
    </row>
    <row r="948" ht="15.75" customHeight="1" spans="1:31">
      <c r="A948" s="175"/>
      <c r="B948" s="175"/>
      <c r="C948" s="239"/>
      <c r="D948" s="240"/>
      <c r="E948" s="175"/>
      <c r="F948" s="175"/>
      <c r="G948" s="175"/>
      <c r="H948" s="246"/>
      <c r="I948" s="249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  <c r="AA948" s="175"/>
      <c r="AB948" s="175"/>
      <c r="AC948" s="175"/>
      <c r="AD948" s="175"/>
      <c r="AE948" s="175"/>
    </row>
    <row r="949" ht="15.75" customHeight="1" spans="1:31">
      <c r="A949" s="175"/>
      <c r="B949" s="175"/>
      <c r="C949" s="239"/>
      <c r="D949" s="240"/>
      <c r="E949" s="175"/>
      <c r="F949" s="175"/>
      <c r="G949" s="175"/>
      <c r="H949" s="246"/>
      <c r="I949" s="249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  <c r="AA949" s="175"/>
      <c r="AB949" s="175"/>
      <c r="AC949" s="175"/>
      <c r="AD949" s="175"/>
      <c r="AE949" s="175"/>
    </row>
    <row r="950" ht="15.75" customHeight="1" spans="1:31">
      <c r="A950" s="175"/>
      <c r="B950" s="175"/>
      <c r="C950" s="239"/>
      <c r="D950" s="240"/>
      <c r="E950" s="175"/>
      <c r="F950" s="175"/>
      <c r="G950" s="175"/>
      <c r="H950" s="246"/>
      <c r="I950" s="249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  <c r="AA950" s="175"/>
      <c r="AB950" s="175"/>
      <c r="AC950" s="175"/>
      <c r="AD950" s="175"/>
      <c r="AE950" s="175"/>
    </row>
    <row r="951" ht="15.75" customHeight="1" spans="1:31">
      <c r="A951" s="175"/>
      <c r="B951" s="175"/>
      <c r="C951" s="239"/>
      <c r="D951" s="240"/>
      <c r="E951" s="175"/>
      <c r="F951" s="175"/>
      <c r="G951" s="175"/>
      <c r="H951" s="246"/>
      <c r="I951" s="249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  <c r="AA951" s="175"/>
      <c r="AB951" s="175"/>
      <c r="AC951" s="175"/>
      <c r="AD951" s="175"/>
      <c r="AE951" s="175"/>
    </row>
    <row r="952" ht="15.75" customHeight="1" spans="1:31">
      <c r="A952" s="175"/>
      <c r="B952" s="175"/>
      <c r="C952" s="239"/>
      <c r="D952" s="240"/>
      <c r="E952" s="175"/>
      <c r="F952" s="175"/>
      <c r="G952" s="175"/>
      <c r="H952" s="246"/>
      <c r="I952" s="249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  <c r="AA952" s="175"/>
      <c r="AB952" s="175"/>
      <c r="AC952" s="175"/>
      <c r="AD952" s="175"/>
      <c r="AE952" s="175"/>
    </row>
    <row r="953" ht="15.75" customHeight="1" spans="1:31">
      <c r="A953" s="175"/>
      <c r="B953" s="175"/>
      <c r="C953" s="239"/>
      <c r="D953" s="240"/>
      <c r="E953" s="175"/>
      <c r="F953" s="175"/>
      <c r="G953" s="175"/>
      <c r="H953" s="246"/>
      <c r="I953" s="249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  <c r="AA953" s="175"/>
      <c r="AB953" s="175"/>
      <c r="AC953" s="175"/>
      <c r="AD953" s="175"/>
      <c r="AE953" s="175"/>
    </row>
    <row r="954" ht="15.75" customHeight="1" spans="1:31">
      <c r="A954" s="175"/>
      <c r="B954" s="175"/>
      <c r="C954" s="239"/>
      <c r="D954" s="240"/>
      <c r="E954" s="175"/>
      <c r="F954" s="175"/>
      <c r="G954" s="175"/>
      <c r="H954" s="246"/>
      <c r="I954" s="249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  <c r="AA954" s="175"/>
      <c r="AB954" s="175"/>
      <c r="AC954" s="175"/>
      <c r="AD954" s="175"/>
      <c r="AE954" s="175"/>
    </row>
    <row r="955" ht="15.75" customHeight="1" spans="1:31">
      <c r="A955" s="175"/>
      <c r="B955" s="175"/>
      <c r="C955" s="239"/>
      <c r="D955" s="240"/>
      <c r="E955" s="175"/>
      <c r="F955" s="175"/>
      <c r="G955" s="175"/>
      <c r="H955" s="246"/>
      <c r="I955" s="249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  <c r="AA955" s="175"/>
      <c r="AB955" s="175"/>
      <c r="AC955" s="175"/>
      <c r="AD955" s="175"/>
      <c r="AE955" s="175"/>
    </row>
    <row r="956" ht="15.75" customHeight="1" spans="1:31">
      <c r="A956" s="175"/>
      <c r="B956" s="175"/>
      <c r="C956" s="239"/>
      <c r="D956" s="240"/>
      <c r="E956" s="175"/>
      <c r="F956" s="175"/>
      <c r="G956" s="175"/>
      <c r="H956" s="246"/>
      <c r="I956" s="249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  <c r="AA956" s="175"/>
      <c r="AB956" s="175"/>
      <c r="AC956" s="175"/>
      <c r="AD956" s="175"/>
      <c r="AE956" s="175"/>
    </row>
    <row r="957" ht="15.75" customHeight="1" spans="1:31">
      <c r="A957" s="175"/>
      <c r="B957" s="175"/>
      <c r="C957" s="239"/>
      <c r="D957" s="240"/>
      <c r="E957" s="175"/>
      <c r="F957" s="175"/>
      <c r="G957" s="175"/>
      <c r="H957" s="246"/>
      <c r="I957" s="249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  <c r="AA957" s="175"/>
      <c r="AB957" s="175"/>
      <c r="AC957" s="175"/>
      <c r="AD957" s="175"/>
      <c r="AE957" s="175"/>
    </row>
    <row r="958" ht="15.75" customHeight="1" spans="1:31">
      <c r="A958" s="175"/>
      <c r="B958" s="175"/>
      <c r="C958" s="239"/>
      <c r="D958" s="240"/>
      <c r="E958" s="175"/>
      <c r="F958" s="175"/>
      <c r="G958" s="175"/>
      <c r="H958" s="246"/>
      <c r="I958" s="249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  <c r="AA958" s="175"/>
      <c r="AB958" s="175"/>
      <c r="AC958" s="175"/>
      <c r="AD958" s="175"/>
      <c r="AE958" s="175"/>
    </row>
    <row r="959" ht="15.75" customHeight="1" spans="1:31">
      <c r="A959" s="175"/>
      <c r="B959" s="175"/>
      <c r="C959" s="239"/>
      <c r="D959" s="240"/>
      <c r="E959" s="175"/>
      <c r="F959" s="175"/>
      <c r="G959" s="175"/>
      <c r="H959" s="246"/>
      <c r="I959" s="249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  <c r="AA959" s="175"/>
      <c r="AB959" s="175"/>
      <c r="AC959" s="175"/>
      <c r="AD959" s="175"/>
      <c r="AE959" s="175"/>
    </row>
    <row r="960" ht="15.75" customHeight="1" spans="1:31">
      <c r="A960" s="175"/>
      <c r="B960" s="175"/>
      <c r="C960" s="239"/>
      <c r="D960" s="240"/>
      <c r="E960" s="175"/>
      <c r="F960" s="175"/>
      <c r="G960" s="175"/>
      <c r="H960" s="246"/>
      <c r="I960" s="249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  <c r="AA960" s="175"/>
      <c r="AB960" s="175"/>
      <c r="AC960" s="175"/>
      <c r="AD960" s="175"/>
      <c r="AE960" s="175"/>
    </row>
    <row r="961" ht="15.75" customHeight="1" spans="1:31">
      <c r="A961" s="175"/>
      <c r="B961" s="175"/>
      <c r="C961" s="239"/>
      <c r="D961" s="240"/>
      <c r="E961" s="175"/>
      <c r="F961" s="175"/>
      <c r="G961" s="175"/>
      <c r="H961" s="246"/>
      <c r="I961" s="249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  <c r="AA961" s="175"/>
      <c r="AB961" s="175"/>
      <c r="AC961" s="175"/>
      <c r="AD961" s="175"/>
      <c r="AE961" s="175"/>
    </row>
    <row r="962" ht="15.75" customHeight="1" spans="1:31">
      <c r="A962" s="175"/>
      <c r="B962" s="175"/>
      <c r="C962" s="239"/>
      <c r="D962" s="240"/>
      <c r="E962" s="175"/>
      <c r="F962" s="175"/>
      <c r="G962" s="175"/>
      <c r="H962" s="246"/>
      <c r="I962" s="249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  <c r="AA962" s="175"/>
      <c r="AB962" s="175"/>
      <c r="AC962" s="175"/>
      <c r="AD962" s="175"/>
      <c r="AE962" s="175"/>
    </row>
    <row r="963" ht="15.75" customHeight="1" spans="1:31">
      <c r="A963" s="175"/>
      <c r="B963" s="175"/>
      <c r="C963" s="239"/>
      <c r="D963" s="240"/>
      <c r="E963" s="175"/>
      <c r="F963" s="175"/>
      <c r="G963" s="175"/>
      <c r="H963" s="246"/>
      <c r="I963" s="249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  <c r="AA963" s="175"/>
      <c r="AB963" s="175"/>
      <c r="AC963" s="175"/>
      <c r="AD963" s="175"/>
      <c r="AE963" s="175"/>
    </row>
    <row r="964" ht="15.75" customHeight="1" spans="1:31">
      <c r="A964" s="175"/>
      <c r="B964" s="175"/>
      <c r="C964" s="239"/>
      <c r="D964" s="240"/>
      <c r="E964" s="175"/>
      <c r="F964" s="175"/>
      <c r="G964" s="175"/>
      <c r="H964" s="246"/>
      <c r="I964" s="249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  <c r="AA964" s="175"/>
      <c r="AB964" s="175"/>
      <c r="AC964" s="175"/>
      <c r="AD964" s="175"/>
      <c r="AE964" s="175"/>
    </row>
    <row r="965" ht="15.75" customHeight="1" spans="1:31">
      <c r="A965" s="175"/>
      <c r="B965" s="175"/>
      <c r="C965" s="239"/>
      <c r="D965" s="240"/>
      <c r="E965" s="175"/>
      <c r="F965" s="175"/>
      <c r="G965" s="175"/>
      <c r="H965" s="246"/>
      <c r="I965" s="249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  <c r="AA965" s="175"/>
      <c r="AB965" s="175"/>
      <c r="AC965" s="175"/>
      <c r="AD965" s="175"/>
      <c r="AE965" s="175"/>
    </row>
    <row r="966" ht="15.75" customHeight="1" spans="1:31">
      <c r="A966" s="175"/>
      <c r="B966" s="175"/>
      <c r="C966" s="239"/>
      <c r="D966" s="240"/>
      <c r="E966" s="175"/>
      <c r="F966" s="175"/>
      <c r="G966" s="175"/>
      <c r="H966" s="246"/>
      <c r="I966" s="249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  <c r="AA966" s="175"/>
      <c r="AB966" s="175"/>
      <c r="AC966" s="175"/>
      <c r="AD966" s="175"/>
      <c r="AE966" s="175"/>
    </row>
    <row r="967" ht="15.75" customHeight="1" spans="1:31">
      <c r="A967" s="175"/>
      <c r="B967" s="175"/>
      <c r="C967" s="239"/>
      <c r="D967" s="240"/>
      <c r="E967" s="175"/>
      <c r="F967" s="175"/>
      <c r="G967" s="175"/>
      <c r="H967" s="246"/>
      <c r="I967" s="249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  <c r="AA967" s="175"/>
      <c r="AB967" s="175"/>
      <c r="AC967" s="175"/>
      <c r="AD967" s="175"/>
      <c r="AE967" s="175"/>
    </row>
    <row r="968" ht="15.75" customHeight="1" spans="1:31">
      <c r="A968" s="175"/>
      <c r="B968" s="175"/>
      <c r="C968" s="239"/>
      <c r="D968" s="240"/>
      <c r="E968" s="175"/>
      <c r="F968" s="175"/>
      <c r="G968" s="175"/>
      <c r="H968" s="246"/>
      <c r="I968" s="249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  <c r="AA968" s="175"/>
      <c r="AB968" s="175"/>
      <c r="AC968" s="175"/>
      <c r="AD968" s="175"/>
      <c r="AE968" s="175"/>
    </row>
    <row r="969" ht="15.75" customHeight="1" spans="1:31">
      <c r="A969" s="175"/>
      <c r="B969" s="175"/>
      <c r="C969" s="239"/>
      <c r="D969" s="240"/>
      <c r="E969" s="175"/>
      <c r="F969" s="175"/>
      <c r="G969" s="175"/>
      <c r="H969" s="246"/>
      <c r="I969" s="249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  <c r="AA969" s="175"/>
      <c r="AB969" s="175"/>
      <c r="AC969" s="175"/>
      <c r="AD969" s="175"/>
      <c r="AE969" s="175"/>
    </row>
    <row r="970" ht="15.75" customHeight="1" spans="1:31">
      <c r="A970" s="175"/>
      <c r="B970" s="175"/>
      <c r="C970" s="239"/>
      <c r="D970" s="240"/>
      <c r="E970" s="175"/>
      <c r="F970" s="175"/>
      <c r="G970" s="175"/>
      <c r="H970" s="246"/>
      <c r="I970" s="249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  <c r="AA970" s="175"/>
      <c r="AB970" s="175"/>
      <c r="AC970" s="175"/>
      <c r="AD970" s="175"/>
      <c r="AE970" s="175"/>
    </row>
    <row r="971" ht="15.75" customHeight="1" spans="1:31">
      <c r="A971" s="175"/>
      <c r="B971" s="175"/>
      <c r="C971" s="239"/>
      <c r="D971" s="240"/>
      <c r="E971" s="175"/>
      <c r="F971" s="175"/>
      <c r="G971" s="175"/>
      <c r="H971" s="246"/>
      <c r="I971" s="249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  <c r="AA971" s="175"/>
      <c r="AB971" s="175"/>
      <c r="AC971" s="175"/>
      <c r="AD971" s="175"/>
      <c r="AE971" s="175"/>
    </row>
    <row r="972" ht="15.75" customHeight="1" spans="1:31">
      <c r="A972" s="175"/>
      <c r="B972" s="175"/>
      <c r="C972" s="239"/>
      <c r="D972" s="240"/>
      <c r="E972" s="175"/>
      <c r="F972" s="175"/>
      <c r="G972" s="175"/>
      <c r="H972" s="246"/>
      <c r="I972" s="249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  <c r="AA972" s="175"/>
      <c r="AB972" s="175"/>
      <c r="AC972" s="175"/>
      <c r="AD972" s="175"/>
      <c r="AE972" s="175"/>
    </row>
    <row r="973" ht="15.75" customHeight="1" spans="1:31">
      <c r="A973" s="175"/>
      <c r="B973" s="175"/>
      <c r="C973" s="239"/>
      <c r="D973" s="240"/>
      <c r="E973" s="175"/>
      <c r="F973" s="175"/>
      <c r="G973" s="175"/>
      <c r="H973" s="246"/>
      <c r="I973" s="249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  <c r="AA973" s="175"/>
      <c r="AB973" s="175"/>
      <c r="AC973" s="175"/>
      <c r="AD973" s="175"/>
      <c r="AE973" s="175"/>
    </row>
    <row r="974" ht="15.75" customHeight="1" spans="1:31">
      <c r="A974" s="175"/>
      <c r="B974" s="175"/>
      <c r="C974" s="239"/>
      <c r="D974" s="240"/>
      <c r="E974" s="175"/>
      <c r="F974" s="175"/>
      <c r="G974" s="175"/>
      <c r="H974" s="246"/>
      <c r="I974" s="249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  <c r="AA974" s="175"/>
      <c r="AB974" s="175"/>
      <c r="AC974" s="175"/>
      <c r="AD974" s="175"/>
      <c r="AE974" s="175"/>
    </row>
    <row r="975" ht="15.75" customHeight="1" spans="1:31">
      <c r="A975" s="175"/>
      <c r="B975" s="175"/>
      <c r="C975" s="239"/>
      <c r="D975" s="240"/>
      <c r="E975" s="175"/>
      <c r="F975" s="175"/>
      <c r="G975" s="175"/>
      <c r="H975" s="246"/>
      <c r="I975" s="249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  <c r="AA975" s="175"/>
      <c r="AB975" s="175"/>
      <c r="AC975" s="175"/>
      <c r="AD975" s="175"/>
      <c r="AE975" s="175"/>
    </row>
    <row r="976" ht="15.75" customHeight="1" spans="1:31">
      <c r="A976" s="175"/>
      <c r="B976" s="175"/>
      <c r="C976" s="239"/>
      <c r="D976" s="240"/>
      <c r="E976" s="175"/>
      <c r="F976" s="175"/>
      <c r="G976" s="175"/>
      <c r="H976" s="246"/>
      <c r="I976" s="249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  <c r="AA976" s="175"/>
      <c r="AB976" s="175"/>
      <c r="AC976" s="175"/>
      <c r="AD976" s="175"/>
      <c r="AE976" s="175"/>
    </row>
    <row r="977" ht="15.75" customHeight="1" spans="1:31">
      <c r="A977" s="175"/>
      <c r="B977" s="175"/>
      <c r="C977" s="239"/>
      <c r="D977" s="240"/>
      <c r="E977" s="175"/>
      <c r="F977" s="175"/>
      <c r="G977" s="175"/>
      <c r="H977" s="246"/>
      <c r="I977" s="249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  <c r="AA977" s="175"/>
      <c r="AB977" s="175"/>
      <c r="AC977" s="175"/>
      <c r="AD977" s="175"/>
      <c r="AE977" s="175"/>
    </row>
    <row r="978" ht="15.75" customHeight="1" spans="1:31">
      <c r="A978" s="175"/>
      <c r="B978" s="175"/>
      <c r="C978" s="239"/>
      <c r="D978" s="240"/>
      <c r="E978" s="175"/>
      <c r="F978" s="175"/>
      <c r="G978" s="175"/>
      <c r="H978" s="246"/>
      <c r="I978" s="249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  <c r="AA978" s="175"/>
      <c r="AB978" s="175"/>
      <c r="AC978" s="175"/>
      <c r="AD978" s="175"/>
      <c r="AE978" s="175"/>
    </row>
    <row r="979" ht="15.75" customHeight="1" spans="1:31">
      <c r="A979" s="175"/>
      <c r="B979" s="175"/>
      <c r="C979" s="239"/>
      <c r="D979" s="240"/>
      <c r="E979" s="175"/>
      <c r="F979" s="175"/>
      <c r="G979" s="175"/>
      <c r="H979" s="246"/>
      <c r="I979" s="249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  <c r="AA979" s="175"/>
      <c r="AB979" s="175"/>
      <c r="AC979" s="175"/>
      <c r="AD979" s="175"/>
      <c r="AE979" s="175"/>
    </row>
    <row r="980" ht="15.75" customHeight="1" spans="1:31">
      <c r="A980" s="175"/>
      <c r="B980" s="175"/>
      <c r="C980" s="239"/>
      <c r="D980" s="240"/>
      <c r="E980" s="175"/>
      <c r="F980" s="175"/>
      <c r="G980" s="175"/>
      <c r="H980" s="246"/>
      <c r="I980" s="249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  <c r="AA980" s="175"/>
      <c r="AB980" s="175"/>
      <c r="AC980" s="175"/>
      <c r="AD980" s="175"/>
      <c r="AE980" s="175"/>
    </row>
    <row r="981" ht="15.75" customHeight="1" spans="1:31">
      <c r="A981" s="175"/>
      <c r="B981" s="175"/>
      <c r="C981" s="239"/>
      <c r="D981" s="240"/>
      <c r="E981" s="175"/>
      <c r="F981" s="175"/>
      <c r="G981" s="175"/>
      <c r="H981" s="246"/>
      <c r="I981" s="249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  <c r="AA981" s="175"/>
      <c r="AB981" s="175"/>
      <c r="AC981" s="175"/>
      <c r="AD981" s="175"/>
      <c r="AE981" s="175"/>
    </row>
    <row r="982" ht="15.75" customHeight="1" spans="1:31">
      <c r="A982" s="175"/>
      <c r="B982" s="175"/>
      <c r="C982" s="239"/>
      <c r="D982" s="240"/>
      <c r="E982" s="175"/>
      <c r="F982" s="175"/>
      <c r="G982" s="175"/>
      <c r="H982" s="246"/>
      <c r="I982" s="249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  <c r="AA982" s="175"/>
      <c r="AB982" s="175"/>
      <c r="AC982" s="175"/>
      <c r="AD982" s="175"/>
      <c r="AE982" s="175"/>
    </row>
    <row r="983" ht="15.75" customHeight="1" spans="1:31">
      <c r="A983" s="175"/>
      <c r="B983" s="175"/>
      <c r="C983" s="239"/>
      <c r="D983" s="240"/>
      <c r="E983" s="175"/>
      <c r="F983" s="175"/>
      <c r="G983" s="175"/>
      <c r="H983" s="246"/>
      <c r="I983" s="249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  <c r="AA983" s="175"/>
      <c r="AB983" s="175"/>
      <c r="AC983" s="175"/>
      <c r="AD983" s="175"/>
      <c r="AE983" s="175"/>
    </row>
    <row r="984" ht="15.75" customHeight="1" spans="1:31">
      <c r="A984" s="175"/>
      <c r="B984" s="175"/>
      <c r="C984" s="239"/>
      <c r="D984" s="240"/>
      <c r="E984" s="175"/>
      <c r="F984" s="175"/>
      <c r="G984" s="175"/>
      <c r="H984" s="246"/>
      <c r="I984" s="249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  <c r="AA984" s="175"/>
      <c r="AB984" s="175"/>
      <c r="AC984" s="175"/>
      <c r="AD984" s="175"/>
      <c r="AE984" s="175"/>
    </row>
    <row r="985" ht="15.75" customHeight="1" spans="1:31">
      <c r="A985" s="175"/>
      <c r="B985" s="175"/>
      <c r="C985" s="239"/>
      <c r="D985" s="240"/>
      <c r="E985" s="175"/>
      <c r="F985" s="175"/>
      <c r="G985" s="175"/>
      <c r="H985" s="246"/>
      <c r="I985" s="249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  <c r="AA985" s="175"/>
      <c r="AB985" s="175"/>
      <c r="AC985" s="175"/>
      <c r="AD985" s="175"/>
      <c r="AE985" s="175"/>
    </row>
    <row r="986" ht="15.75" customHeight="1" spans="1:31">
      <c r="A986" s="175"/>
      <c r="B986" s="175"/>
      <c r="C986" s="239"/>
      <c r="D986" s="240"/>
      <c r="E986" s="175"/>
      <c r="F986" s="175"/>
      <c r="G986" s="175"/>
      <c r="H986" s="246"/>
      <c r="I986" s="249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  <c r="AA986" s="175"/>
      <c r="AB986" s="175"/>
      <c r="AC986" s="175"/>
      <c r="AD986" s="175"/>
      <c r="AE986" s="175"/>
    </row>
    <row r="987" ht="15.75" customHeight="1" spans="1:31">
      <c r="A987" s="175"/>
      <c r="B987" s="175"/>
      <c r="C987" s="239"/>
      <c r="D987" s="240"/>
      <c r="E987" s="175"/>
      <c r="F987" s="175"/>
      <c r="G987" s="175"/>
      <c r="H987" s="246"/>
      <c r="I987" s="249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  <c r="AA987" s="175"/>
      <c r="AB987" s="175"/>
      <c r="AC987" s="175"/>
      <c r="AD987" s="175"/>
      <c r="AE987" s="175"/>
    </row>
    <row r="988" ht="15.75" customHeight="1" spans="1:31">
      <c r="A988" s="175"/>
      <c r="B988" s="175"/>
      <c r="C988" s="239"/>
      <c r="D988" s="240"/>
      <c r="E988" s="175"/>
      <c r="F988" s="175"/>
      <c r="G988" s="175"/>
      <c r="H988" s="246"/>
      <c r="I988" s="249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  <c r="AA988" s="175"/>
      <c r="AB988" s="175"/>
      <c r="AC988" s="175"/>
      <c r="AD988" s="175"/>
      <c r="AE988" s="175"/>
    </row>
    <row r="989" ht="15.75" customHeight="1" spans="1:31">
      <c r="A989" s="175"/>
      <c r="B989" s="175"/>
      <c r="C989" s="239"/>
      <c r="D989" s="240"/>
      <c r="E989" s="175"/>
      <c r="F989" s="175"/>
      <c r="G989" s="175"/>
      <c r="H989" s="246"/>
      <c r="I989" s="249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  <c r="AA989" s="175"/>
      <c r="AB989" s="175"/>
      <c r="AC989" s="175"/>
      <c r="AD989" s="175"/>
      <c r="AE989" s="175"/>
    </row>
    <row r="990" ht="15.75" customHeight="1" spans="1:31">
      <c r="A990" s="175"/>
      <c r="B990" s="175"/>
      <c r="C990" s="239"/>
      <c r="D990" s="240"/>
      <c r="E990" s="175"/>
      <c r="F990" s="175"/>
      <c r="G990" s="175"/>
      <c r="H990" s="246"/>
      <c r="I990" s="249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  <c r="AA990" s="175"/>
      <c r="AB990" s="175"/>
      <c r="AC990" s="175"/>
      <c r="AD990" s="175"/>
      <c r="AE990" s="175"/>
    </row>
    <row r="991" ht="15.75" customHeight="1" spans="1:31">
      <c r="A991" s="175"/>
      <c r="B991" s="175"/>
      <c r="C991" s="239"/>
      <c r="D991" s="240"/>
      <c r="E991" s="175"/>
      <c r="F991" s="175"/>
      <c r="G991" s="175"/>
      <c r="H991" s="246"/>
      <c r="I991" s="249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  <c r="AA991" s="175"/>
      <c r="AB991" s="175"/>
      <c r="AC991" s="175"/>
      <c r="AD991" s="175"/>
      <c r="AE991" s="175"/>
    </row>
    <row r="992" ht="15.75" customHeight="1" spans="1:31">
      <c r="A992" s="175"/>
      <c r="B992" s="175"/>
      <c r="C992" s="239"/>
      <c r="D992" s="240"/>
      <c r="E992" s="175"/>
      <c r="F992" s="175"/>
      <c r="G992" s="175"/>
      <c r="H992" s="246"/>
      <c r="I992" s="249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  <c r="AA992" s="175"/>
      <c r="AB992" s="175"/>
      <c r="AC992" s="175"/>
      <c r="AD992" s="175"/>
      <c r="AE992" s="175"/>
    </row>
    <row r="993" ht="15.75" customHeight="1" spans="1:31">
      <c r="A993" s="175"/>
      <c r="B993" s="175"/>
      <c r="C993" s="239"/>
      <c r="D993" s="240"/>
      <c r="E993" s="175"/>
      <c r="F993" s="175"/>
      <c r="G993" s="175"/>
      <c r="H993" s="246"/>
      <c r="I993" s="249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  <c r="AA993" s="175"/>
      <c r="AB993" s="175"/>
      <c r="AC993" s="175"/>
      <c r="AD993" s="175"/>
      <c r="AE993" s="175"/>
    </row>
    <row r="994" ht="15.75" customHeight="1" spans="1:31">
      <c r="A994" s="175"/>
      <c r="B994" s="175"/>
      <c r="C994" s="239"/>
      <c r="D994" s="240"/>
      <c r="E994" s="175"/>
      <c r="F994" s="175"/>
      <c r="G994" s="175"/>
      <c r="H994" s="246"/>
      <c r="I994" s="249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  <c r="AA994" s="175"/>
      <c r="AB994" s="175"/>
      <c r="AC994" s="175"/>
      <c r="AD994" s="175"/>
      <c r="AE994" s="175"/>
    </row>
    <row r="995" ht="15.75" customHeight="1" spans="1:31">
      <c r="A995" s="175"/>
      <c r="B995" s="175"/>
      <c r="C995" s="239"/>
      <c r="D995" s="240"/>
      <c r="E995" s="175"/>
      <c r="F995" s="175"/>
      <c r="G995" s="175"/>
      <c r="H995" s="246"/>
      <c r="I995" s="249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  <c r="AA995" s="175"/>
      <c r="AB995" s="175"/>
      <c r="AC995" s="175"/>
      <c r="AD995" s="175"/>
      <c r="AE995" s="175"/>
    </row>
    <row r="996" ht="15.75" customHeight="1" spans="1:31">
      <c r="A996" s="175"/>
      <c r="B996" s="175"/>
      <c r="C996" s="239"/>
      <c r="D996" s="240"/>
      <c r="E996" s="175"/>
      <c r="F996" s="175"/>
      <c r="G996" s="175"/>
      <c r="H996" s="246"/>
      <c r="I996" s="249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  <c r="AA996" s="175"/>
      <c r="AB996" s="175"/>
      <c r="AC996" s="175"/>
      <c r="AD996" s="175"/>
      <c r="AE996" s="175"/>
    </row>
    <row r="997" ht="15.75" customHeight="1" spans="1:31">
      <c r="A997" s="175"/>
      <c r="B997" s="175"/>
      <c r="C997" s="239"/>
      <c r="D997" s="240"/>
      <c r="E997" s="175"/>
      <c r="F997" s="175"/>
      <c r="G997" s="175"/>
      <c r="H997" s="246"/>
      <c r="I997" s="249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  <c r="AA997" s="175"/>
      <c r="AB997" s="175"/>
      <c r="AC997" s="175"/>
      <c r="AD997" s="175"/>
      <c r="AE997" s="175"/>
    </row>
    <row r="998" ht="15.75" customHeight="1" spans="1:31">
      <c r="A998" s="175"/>
      <c r="B998" s="175"/>
      <c r="C998" s="239"/>
      <c r="D998" s="240"/>
      <c r="E998" s="175"/>
      <c r="F998" s="175"/>
      <c r="G998" s="175"/>
      <c r="H998" s="246"/>
      <c r="I998" s="249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  <c r="AA998" s="175"/>
      <c r="AB998" s="175"/>
      <c r="AC998" s="175"/>
      <c r="AD998" s="175"/>
      <c r="AE998" s="175"/>
    </row>
    <row r="999" ht="15.75" customHeight="1" spans="1:31">
      <c r="A999" s="175"/>
      <c r="B999" s="175"/>
      <c r="C999" s="239"/>
      <c r="D999" s="240"/>
      <c r="E999" s="175"/>
      <c r="F999" s="175"/>
      <c r="G999" s="175"/>
      <c r="H999" s="246"/>
      <c r="I999" s="249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  <c r="AA999" s="175"/>
      <c r="AB999" s="175"/>
      <c r="AC999" s="175"/>
      <c r="AD999" s="175"/>
      <c r="AE999" s="175"/>
    </row>
    <row r="1000" ht="15.75" customHeight="1" spans="1:31">
      <c r="A1000" s="175"/>
      <c r="B1000" s="175"/>
      <c r="C1000" s="239"/>
      <c r="D1000" s="240"/>
      <c r="E1000" s="175"/>
      <c r="F1000" s="175"/>
      <c r="G1000" s="175"/>
      <c r="H1000" s="246"/>
      <c r="I1000" s="249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  <c r="AA1000" s="175"/>
      <c r="AB1000" s="175"/>
      <c r="AC1000" s="175"/>
      <c r="AD1000" s="175"/>
      <c r="AE1000" s="175"/>
    </row>
    <row r="1001" ht="15.75" customHeight="1" spans="1:31">
      <c r="A1001" s="175"/>
      <c r="B1001" s="175"/>
      <c r="C1001" s="239"/>
      <c r="D1001" s="240"/>
      <c r="E1001" s="175"/>
      <c r="F1001" s="175"/>
      <c r="G1001" s="175"/>
      <c r="H1001" s="246"/>
      <c r="I1001" s="249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  <c r="AA1001" s="175"/>
      <c r="AB1001" s="175"/>
      <c r="AC1001" s="175"/>
      <c r="AD1001" s="175"/>
      <c r="AE1001" s="175"/>
    </row>
    <row r="1002" ht="15.75" customHeight="1" spans="1:31">
      <c r="A1002" s="175"/>
      <c r="B1002" s="175"/>
      <c r="C1002" s="239"/>
      <c r="D1002" s="240"/>
      <c r="E1002" s="175"/>
      <c r="F1002" s="175"/>
      <c r="G1002" s="175"/>
      <c r="H1002" s="246"/>
      <c r="I1002" s="249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  <c r="AA1002" s="175"/>
      <c r="AB1002" s="175"/>
      <c r="AC1002" s="175"/>
      <c r="AD1002" s="175"/>
      <c r="AE1002" s="175"/>
    </row>
    <row r="1003" ht="15.75" customHeight="1" spans="1:31">
      <c r="A1003" s="175"/>
      <c r="B1003" s="175"/>
      <c r="C1003" s="239"/>
      <c r="D1003" s="240"/>
      <c r="E1003" s="175"/>
      <c r="F1003" s="175"/>
      <c r="G1003" s="175"/>
      <c r="H1003" s="246"/>
      <c r="I1003" s="249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  <c r="AA1003" s="175"/>
      <c r="AB1003" s="175"/>
      <c r="AC1003" s="175"/>
      <c r="AD1003" s="175"/>
      <c r="AE1003" s="175"/>
    </row>
    <row r="1004" ht="15.75" customHeight="1" spans="1:31">
      <c r="A1004" s="175"/>
      <c r="B1004" s="175"/>
      <c r="C1004" s="239"/>
      <c r="D1004" s="240"/>
      <c r="E1004" s="175"/>
      <c r="F1004" s="175"/>
      <c r="G1004" s="175"/>
      <c r="H1004" s="246"/>
      <c r="I1004" s="249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  <c r="AA1004" s="175"/>
      <c r="AB1004" s="175"/>
      <c r="AC1004" s="175"/>
      <c r="AD1004" s="175"/>
      <c r="AE1004" s="175"/>
    </row>
    <row r="1005" ht="15.75" customHeight="1" spans="1:31">
      <c r="A1005" s="175"/>
      <c r="B1005" s="175"/>
      <c r="C1005" s="239"/>
      <c r="D1005" s="240"/>
      <c r="E1005" s="175"/>
      <c r="F1005" s="175"/>
      <c r="G1005" s="175"/>
      <c r="H1005" s="246"/>
      <c r="I1005" s="249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  <c r="AA1005" s="175"/>
      <c r="AB1005" s="175"/>
      <c r="AC1005" s="175"/>
      <c r="AD1005" s="175"/>
      <c r="AE1005" s="175"/>
    </row>
    <row r="1006" ht="15.75" customHeight="1" spans="1:31">
      <c r="A1006" s="175"/>
      <c r="B1006" s="175"/>
      <c r="C1006" s="239"/>
      <c r="D1006" s="240"/>
      <c r="E1006" s="175"/>
      <c r="F1006" s="175"/>
      <c r="G1006" s="175"/>
      <c r="H1006" s="246"/>
      <c r="I1006" s="249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  <c r="AA1006" s="175"/>
      <c r="AB1006" s="175"/>
      <c r="AC1006" s="175"/>
      <c r="AD1006" s="175"/>
      <c r="AE1006" s="175"/>
    </row>
    <row r="1007" ht="15.75" customHeight="1" spans="1:31">
      <c r="A1007" s="175"/>
      <c r="B1007" s="175"/>
      <c r="C1007" s="239"/>
      <c r="D1007" s="240"/>
      <c r="E1007" s="175"/>
      <c r="F1007" s="175"/>
      <c r="G1007" s="175"/>
      <c r="H1007" s="246"/>
      <c r="I1007" s="249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  <c r="AA1007" s="175"/>
      <c r="AB1007" s="175"/>
      <c r="AC1007" s="175"/>
      <c r="AD1007" s="175"/>
      <c r="AE1007" s="175"/>
    </row>
    <row r="1008" ht="15.75" customHeight="1" spans="1:31">
      <c r="A1008" s="175"/>
      <c r="B1008" s="175"/>
      <c r="C1008" s="239"/>
      <c r="D1008" s="240"/>
      <c r="E1008" s="175"/>
      <c r="F1008" s="175"/>
      <c r="G1008" s="175"/>
      <c r="H1008" s="246"/>
      <c r="I1008" s="249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  <c r="Y1008" s="175"/>
      <c r="Z1008" s="175"/>
      <c r="AA1008" s="175"/>
      <c r="AB1008" s="175"/>
      <c r="AC1008" s="175"/>
      <c r="AD1008" s="175"/>
      <c r="AE1008" s="175"/>
    </row>
    <row r="1009" ht="15.75" customHeight="1" spans="1:31">
      <c r="A1009" s="175"/>
      <c r="B1009" s="175"/>
      <c r="C1009" s="239"/>
      <c r="D1009" s="240"/>
      <c r="E1009" s="175"/>
      <c r="F1009" s="175"/>
      <c r="G1009" s="175"/>
      <c r="H1009" s="246"/>
      <c r="I1009" s="249"/>
      <c r="J1009" s="175"/>
      <c r="K1009" s="175"/>
      <c r="L1009" s="175"/>
      <c r="M1009" s="175"/>
      <c r="N1009" s="175"/>
      <c r="O1009" s="175"/>
      <c r="P1009" s="175"/>
      <c r="Q1009" s="175"/>
      <c r="R1009" s="175"/>
      <c r="S1009" s="175"/>
      <c r="T1009" s="175"/>
      <c r="U1009" s="175"/>
      <c r="V1009" s="175"/>
      <c r="W1009" s="175"/>
      <c r="X1009" s="175"/>
      <c r="Y1009" s="175"/>
      <c r="Z1009" s="175"/>
      <c r="AA1009" s="175"/>
      <c r="AB1009" s="175"/>
      <c r="AC1009" s="175"/>
      <c r="AD1009" s="175"/>
      <c r="AE1009" s="175"/>
    </row>
    <row r="1010" ht="15.75" customHeight="1" spans="1:31">
      <c r="A1010" s="175"/>
      <c r="B1010" s="175"/>
      <c r="C1010" s="239"/>
      <c r="D1010" s="240"/>
      <c r="E1010" s="175"/>
      <c r="F1010" s="175"/>
      <c r="G1010" s="175"/>
      <c r="H1010" s="246"/>
      <c r="I1010" s="249"/>
      <c r="J1010" s="175"/>
      <c r="K1010" s="175"/>
      <c r="L1010" s="175"/>
      <c r="M1010" s="175"/>
      <c r="N1010" s="175"/>
      <c r="O1010" s="175"/>
      <c r="P1010" s="175"/>
      <c r="Q1010" s="175"/>
      <c r="R1010" s="175"/>
      <c r="S1010" s="175"/>
      <c r="T1010" s="175"/>
      <c r="U1010" s="175"/>
      <c r="V1010" s="175"/>
      <c r="W1010" s="175"/>
      <c r="X1010" s="175"/>
      <c r="Y1010" s="175"/>
      <c r="Z1010" s="175"/>
      <c r="AA1010" s="175"/>
      <c r="AB1010" s="175"/>
      <c r="AC1010" s="175"/>
      <c r="AD1010" s="175"/>
      <c r="AE1010" s="175"/>
    </row>
    <row r="1011" ht="15.75" customHeight="1" spans="1:31">
      <c r="A1011" s="175"/>
      <c r="B1011" s="175"/>
      <c r="C1011" s="239"/>
      <c r="D1011" s="240"/>
      <c r="E1011" s="175"/>
      <c r="F1011" s="175"/>
      <c r="G1011" s="175"/>
      <c r="H1011" s="246"/>
      <c r="I1011" s="249"/>
      <c r="J1011" s="175"/>
      <c r="K1011" s="175"/>
      <c r="L1011" s="175"/>
      <c r="M1011" s="175"/>
      <c r="N1011" s="175"/>
      <c r="O1011" s="175"/>
      <c r="P1011" s="175"/>
      <c r="Q1011" s="175"/>
      <c r="R1011" s="175"/>
      <c r="S1011" s="175"/>
      <c r="T1011" s="175"/>
      <c r="U1011" s="175"/>
      <c r="V1011" s="175"/>
      <c r="W1011" s="175"/>
      <c r="X1011" s="175"/>
      <c r="Y1011" s="175"/>
      <c r="Z1011" s="175"/>
      <c r="AA1011" s="175"/>
      <c r="AB1011" s="175"/>
      <c r="AC1011" s="175"/>
      <c r="AD1011" s="175"/>
      <c r="AE1011" s="175"/>
    </row>
    <row r="1012" ht="15.75" customHeight="1" spans="1:31">
      <c r="A1012" s="175"/>
      <c r="B1012" s="175"/>
      <c r="C1012" s="239"/>
      <c r="D1012" s="240"/>
      <c r="E1012" s="175"/>
      <c r="F1012" s="175"/>
      <c r="G1012" s="175"/>
      <c r="H1012" s="246"/>
      <c r="I1012" s="249"/>
      <c r="J1012" s="175"/>
      <c r="K1012" s="175"/>
      <c r="L1012" s="175"/>
      <c r="M1012" s="175"/>
      <c r="N1012" s="175"/>
      <c r="O1012" s="175"/>
      <c r="P1012" s="175"/>
      <c r="Q1012" s="175"/>
      <c r="R1012" s="175"/>
      <c r="S1012" s="175"/>
      <c r="T1012" s="175"/>
      <c r="U1012" s="175"/>
      <c r="V1012" s="175"/>
      <c r="W1012" s="175"/>
      <c r="X1012" s="175"/>
      <c r="Y1012" s="175"/>
      <c r="Z1012" s="175"/>
      <c r="AA1012" s="175"/>
      <c r="AB1012" s="175"/>
      <c r="AC1012" s="175"/>
      <c r="AD1012" s="175"/>
      <c r="AE1012" s="175"/>
    </row>
    <row r="1013" ht="15.75" customHeight="1" spans="1:31">
      <c r="A1013" s="175"/>
      <c r="B1013" s="175"/>
      <c r="C1013" s="239"/>
      <c r="D1013" s="240"/>
      <c r="E1013" s="175"/>
      <c r="F1013" s="175"/>
      <c r="G1013" s="175"/>
      <c r="H1013" s="246"/>
      <c r="I1013" s="249"/>
      <c r="J1013" s="175"/>
      <c r="K1013" s="175"/>
      <c r="L1013" s="175"/>
      <c r="M1013" s="175"/>
      <c r="N1013" s="175"/>
      <c r="O1013" s="175"/>
      <c r="P1013" s="175"/>
      <c r="Q1013" s="175"/>
      <c r="R1013" s="175"/>
      <c r="S1013" s="175"/>
      <c r="T1013" s="175"/>
      <c r="U1013" s="175"/>
      <c r="V1013" s="175"/>
      <c r="W1013" s="175"/>
      <c r="X1013" s="175"/>
      <c r="Y1013" s="175"/>
      <c r="Z1013" s="175"/>
      <c r="AA1013" s="175"/>
      <c r="AB1013" s="175"/>
      <c r="AC1013" s="175"/>
      <c r="AD1013" s="175"/>
      <c r="AE1013" s="175"/>
    </row>
    <row r="1014" ht="15.75" customHeight="1" spans="1:31">
      <c r="A1014" s="175"/>
      <c r="B1014" s="175"/>
      <c r="C1014" s="239"/>
      <c r="D1014" s="240"/>
      <c r="E1014" s="175"/>
      <c r="F1014" s="175"/>
      <c r="G1014" s="175"/>
      <c r="H1014" s="246"/>
      <c r="I1014" s="249"/>
      <c r="J1014" s="175"/>
      <c r="K1014" s="175"/>
      <c r="L1014" s="175"/>
      <c r="M1014" s="175"/>
      <c r="N1014" s="175"/>
      <c r="O1014" s="175"/>
      <c r="P1014" s="175"/>
      <c r="Q1014" s="175"/>
      <c r="R1014" s="175"/>
      <c r="S1014" s="175"/>
      <c r="T1014" s="175"/>
      <c r="U1014" s="175"/>
      <c r="V1014" s="175"/>
      <c r="W1014" s="175"/>
      <c r="X1014" s="175"/>
      <c r="Y1014" s="175"/>
      <c r="Z1014" s="175"/>
      <c r="AA1014" s="175"/>
      <c r="AB1014" s="175"/>
      <c r="AC1014" s="175"/>
      <c r="AD1014" s="175"/>
      <c r="AE1014" s="175"/>
    </row>
    <row r="1015" ht="15.75" customHeight="1" spans="1:31">
      <c r="A1015" s="175"/>
      <c r="B1015" s="175"/>
      <c r="C1015" s="239"/>
      <c r="D1015" s="240"/>
      <c r="E1015" s="175"/>
      <c r="F1015" s="175"/>
      <c r="G1015" s="175"/>
      <c r="H1015" s="246"/>
      <c r="I1015" s="249"/>
      <c r="J1015" s="175"/>
      <c r="K1015" s="175"/>
      <c r="L1015" s="175"/>
      <c r="M1015" s="175"/>
      <c r="N1015" s="175"/>
      <c r="O1015" s="175"/>
      <c r="P1015" s="175"/>
      <c r="Q1015" s="175"/>
      <c r="R1015" s="175"/>
      <c r="S1015" s="175"/>
      <c r="T1015" s="175"/>
      <c r="U1015" s="175"/>
      <c r="V1015" s="175"/>
      <c r="W1015" s="175"/>
      <c r="X1015" s="175"/>
      <c r="Y1015" s="175"/>
      <c r="Z1015" s="175"/>
      <c r="AA1015" s="175"/>
      <c r="AB1015" s="175"/>
      <c r="AC1015" s="175"/>
      <c r="AD1015" s="175"/>
      <c r="AE1015" s="175"/>
    </row>
    <row r="1016" ht="15.75" customHeight="1" spans="1:31">
      <c r="A1016" s="175"/>
      <c r="B1016" s="175"/>
      <c r="C1016" s="239"/>
      <c r="D1016" s="240"/>
      <c r="E1016" s="175"/>
      <c r="F1016" s="175"/>
      <c r="G1016" s="175"/>
      <c r="H1016" s="246"/>
      <c r="I1016" s="249"/>
      <c r="J1016" s="175"/>
      <c r="K1016" s="175"/>
      <c r="L1016" s="175"/>
      <c r="M1016" s="175"/>
      <c r="N1016" s="175"/>
      <c r="O1016" s="175"/>
      <c r="P1016" s="175"/>
      <c r="Q1016" s="175"/>
      <c r="R1016" s="175"/>
      <c r="S1016" s="175"/>
      <c r="T1016" s="175"/>
      <c r="U1016" s="175"/>
      <c r="V1016" s="175"/>
      <c r="W1016" s="175"/>
      <c r="X1016" s="175"/>
      <c r="Y1016" s="175"/>
      <c r="Z1016" s="175"/>
      <c r="AA1016" s="175"/>
      <c r="AB1016" s="175"/>
      <c r="AC1016" s="175"/>
      <c r="AD1016" s="175"/>
      <c r="AE1016" s="175"/>
    </row>
    <row r="1017" ht="15.75" customHeight="1" spans="1:31">
      <c r="A1017" s="175"/>
      <c r="B1017" s="175"/>
      <c r="C1017" s="239"/>
      <c r="D1017" s="240"/>
      <c r="E1017" s="175"/>
      <c r="F1017" s="175"/>
      <c r="G1017" s="175"/>
      <c r="H1017" s="246"/>
      <c r="I1017" s="249"/>
      <c r="J1017" s="175"/>
      <c r="K1017" s="175"/>
      <c r="L1017" s="175"/>
      <c r="M1017" s="175"/>
      <c r="N1017" s="175"/>
      <c r="O1017" s="175"/>
      <c r="P1017" s="175"/>
      <c r="Q1017" s="175"/>
      <c r="R1017" s="175"/>
      <c r="S1017" s="175"/>
      <c r="T1017" s="175"/>
      <c r="U1017" s="175"/>
      <c r="V1017" s="175"/>
      <c r="W1017" s="175"/>
      <c r="X1017" s="175"/>
      <c r="Y1017" s="175"/>
      <c r="Z1017" s="175"/>
      <c r="AA1017" s="175"/>
      <c r="AB1017" s="175"/>
      <c r="AC1017" s="175"/>
      <c r="AD1017" s="175"/>
      <c r="AE1017" s="175"/>
    </row>
    <row r="1018" ht="15.75" customHeight="1" spans="1:31">
      <c r="A1018" s="175"/>
      <c r="B1018" s="175"/>
      <c r="C1018" s="239"/>
      <c r="D1018" s="240"/>
      <c r="E1018" s="175"/>
      <c r="F1018" s="175"/>
      <c r="G1018" s="175"/>
      <c r="H1018" s="246"/>
      <c r="I1018" s="249"/>
      <c r="J1018" s="175"/>
      <c r="K1018" s="175"/>
      <c r="L1018" s="175"/>
      <c r="M1018" s="175"/>
      <c r="N1018" s="175"/>
      <c r="O1018" s="175"/>
      <c r="P1018" s="175"/>
      <c r="Q1018" s="175"/>
      <c r="R1018" s="175"/>
      <c r="S1018" s="175"/>
      <c r="T1018" s="175"/>
      <c r="U1018" s="175"/>
      <c r="V1018" s="175"/>
      <c r="W1018" s="175"/>
      <c r="X1018" s="175"/>
      <c r="Y1018" s="175"/>
      <c r="Z1018" s="175"/>
      <c r="AA1018" s="175"/>
      <c r="AB1018" s="175"/>
      <c r="AC1018" s="175"/>
      <c r="AD1018" s="175"/>
      <c r="AE1018" s="175"/>
    </row>
    <row r="1019" ht="15.75" customHeight="1" spans="1:31">
      <c r="A1019" s="175"/>
      <c r="B1019" s="175"/>
      <c r="C1019" s="239"/>
      <c r="D1019" s="240"/>
      <c r="E1019" s="175"/>
      <c r="F1019" s="175"/>
      <c r="G1019" s="175"/>
      <c r="H1019" s="246"/>
      <c r="I1019" s="249"/>
      <c r="J1019" s="175"/>
      <c r="K1019" s="175"/>
      <c r="L1019" s="175"/>
      <c r="M1019" s="175"/>
      <c r="N1019" s="175"/>
      <c r="O1019" s="175"/>
      <c r="P1019" s="175"/>
      <c r="Q1019" s="175"/>
      <c r="R1019" s="175"/>
      <c r="S1019" s="175"/>
      <c r="T1019" s="175"/>
      <c r="U1019" s="175"/>
      <c r="V1019" s="175"/>
      <c r="W1019" s="175"/>
      <c r="X1019" s="175"/>
      <c r="Y1019" s="175"/>
      <c r="Z1019" s="175"/>
      <c r="AA1019" s="175"/>
      <c r="AB1019" s="175"/>
      <c r="AC1019" s="175"/>
      <c r="AD1019" s="175"/>
      <c r="AE1019" s="175"/>
    </row>
    <row r="1020" ht="15.75" customHeight="1" spans="1:31">
      <c r="A1020" s="175"/>
      <c r="B1020" s="175"/>
      <c r="C1020" s="239"/>
      <c r="D1020" s="240"/>
      <c r="E1020" s="175"/>
      <c r="F1020" s="175"/>
      <c r="G1020" s="175"/>
      <c r="H1020" s="246"/>
      <c r="I1020" s="249"/>
      <c r="J1020" s="175"/>
      <c r="K1020" s="175"/>
      <c r="L1020" s="175"/>
      <c r="M1020" s="175"/>
      <c r="N1020" s="175"/>
      <c r="O1020" s="175"/>
      <c r="P1020" s="175"/>
      <c r="Q1020" s="175"/>
      <c r="R1020" s="175"/>
      <c r="S1020" s="175"/>
      <c r="T1020" s="175"/>
      <c r="U1020" s="175"/>
      <c r="V1020" s="175"/>
      <c r="W1020" s="175"/>
      <c r="X1020" s="175"/>
      <c r="Y1020" s="175"/>
      <c r="Z1020" s="175"/>
      <c r="AA1020" s="175"/>
      <c r="AB1020" s="175"/>
      <c r="AC1020" s="175"/>
      <c r="AD1020" s="175"/>
      <c r="AE1020" s="175"/>
    </row>
    <row r="1021" ht="15.75" customHeight="1" spans="1:31">
      <c r="A1021" s="175"/>
      <c r="B1021" s="175"/>
      <c r="C1021" s="239"/>
      <c r="D1021" s="240"/>
      <c r="E1021" s="175"/>
      <c r="F1021" s="175"/>
      <c r="G1021" s="175"/>
      <c r="H1021" s="246"/>
      <c r="I1021" s="249"/>
      <c r="J1021" s="175"/>
      <c r="K1021" s="175"/>
      <c r="L1021" s="175"/>
      <c r="M1021" s="175"/>
      <c r="N1021" s="175"/>
      <c r="O1021" s="175"/>
      <c r="P1021" s="175"/>
      <c r="Q1021" s="175"/>
      <c r="R1021" s="175"/>
      <c r="S1021" s="175"/>
      <c r="T1021" s="175"/>
      <c r="U1021" s="175"/>
      <c r="V1021" s="175"/>
      <c r="W1021" s="175"/>
      <c r="X1021" s="175"/>
      <c r="Y1021" s="175"/>
      <c r="Z1021" s="175"/>
      <c r="AA1021" s="175"/>
      <c r="AB1021" s="175"/>
      <c r="AC1021" s="175"/>
      <c r="AD1021" s="175"/>
      <c r="AE1021" s="175"/>
    </row>
    <row r="1022" ht="15.75" customHeight="1" spans="1:31">
      <c r="A1022" s="175"/>
      <c r="B1022" s="175"/>
      <c r="C1022" s="239"/>
      <c r="D1022" s="240"/>
      <c r="E1022" s="175"/>
      <c r="F1022" s="175"/>
      <c r="G1022" s="175"/>
      <c r="H1022" s="246"/>
      <c r="I1022" s="249"/>
      <c r="J1022" s="175"/>
      <c r="K1022" s="175"/>
      <c r="L1022" s="175"/>
      <c r="M1022" s="175"/>
      <c r="N1022" s="175"/>
      <c r="O1022" s="175"/>
      <c r="P1022" s="175"/>
      <c r="Q1022" s="175"/>
      <c r="R1022" s="175"/>
      <c r="S1022" s="175"/>
      <c r="T1022" s="175"/>
      <c r="U1022" s="175"/>
      <c r="V1022" s="175"/>
      <c r="W1022" s="175"/>
      <c r="X1022" s="175"/>
      <c r="Y1022" s="175"/>
      <c r="Z1022" s="175"/>
      <c r="AA1022" s="175"/>
      <c r="AB1022" s="175"/>
      <c r="AC1022" s="175"/>
      <c r="AD1022" s="175"/>
      <c r="AE1022" s="175"/>
    </row>
    <row r="1023" ht="15.75" customHeight="1" spans="1:31">
      <c r="A1023" s="175"/>
      <c r="B1023" s="175"/>
      <c r="C1023" s="239"/>
      <c r="D1023" s="240"/>
      <c r="E1023" s="175"/>
      <c r="F1023" s="175"/>
      <c r="G1023" s="175"/>
      <c r="H1023" s="246"/>
      <c r="I1023" s="249"/>
      <c r="J1023" s="175"/>
      <c r="K1023" s="175"/>
      <c r="L1023" s="175"/>
      <c r="M1023" s="175"/>
      <c r="N1023" s="175"/>
      <c r="O1023" s="175"/>
      <c r="P1023" s="175"/>
      <c r="Q1023" s="175"/>
      <c r="R1023" s="175"/>
      <c r="S1023" s="175"/>
      <c r="T1023" s="175"/>
      <c r="U1023" s="175"/>
      <c r="V1023" s="175"/>
      <c r="W1023" s="175"/>
      <c r="X1023" s="175"/>
      <c r="Y1023" s="175"/>
      <c r="Z1023" s="175"/>
      <c r="AA1023" s="175"/>
      <c r="AB1023" s="175"/>
      <c r="AC1023" s="175"/>
      <c r="AD1023" s="175"/>
      <c r="AE1023" s="175"/>
    </row>
    <row r="1024" ht="15.75" customHeight="1" spans="1:31">
      <c r="A1024" s="175"/>
      <c r="B1024" s="175"/>
      <c r="C1024" s="239"/>
      <c r="D1024" s="240"/>
      <c r="E1024" s="175"/>
      <c r="F1024" s="175"/>
      <c r="G1024" s="175"/>
      <c r="H1024" s="246"/>
      <c r="I1024" s="249"/>
      <c r="J1024" s="175"/>
      <c r="K1024" s="175"/>
      <c r="L1024" s="175"/>
      <c r="M1024" s="175"/>
      <c r="N1024" s="175"/>
      <c r="O1024" s="175"/>
      <c r="P1024" s="175"/>
      <c r="Q1024" s="175"/>
      <c r="R1024" s="175"/>
      <c r="S1024" s="175"/>
      <c r="T1024" s="175"/>
      <c r="U1024" s="175"/>
      <c r="V1024" s="175"/>
      <c r="W1024" s="175"/>
      <c r="X1024" s="175"/>
      <c r="Y1024" s="175"/>
      <c r="Z1024" s="175"/>
      <c r="AA1024" s="175"/>
      <c r="AB1024" s="175"/>
      <c r="AC1024" s="175"/>
      <c r="AD1024" s="175"/>
      <c r="AE1024" s="175"/>
    </row>
    <row r="1025" ht="15.75" customHeight="1" spans="1:31">
      <c r="A1025" s="175"/>
      <c r="B1025" s="175"/>
      <c r="C1025" s="239"/>
      <c r="D1025" s="240"/>
      <c r="E1025" s="175"/>
      <c r="F1025" s="175"/>
      <c r="G1025" s="175"/>
      <c r="H1025" s="246"/>
      <c r="I1025" s="249"/>
      <c r="J1025" s="175"/>
      <c r="K1025" s="175"/>
      <c r="L1025" s="175"/>
      <c r="M1025" s="175"/>
      <c r="N1025" s="175"/>
      <c r="O1025" s="175"/>
      <c r="P1025" s="175"/>
      <c r="Q1025" s="175"/>
      <c r="R1025" s="175"/>
      <c r="S1025" s="175"/>
      <c r="T1025" s="175"/>
      <c r="U1025" s="175"/>
      <c r="V1025" s="175"/>
      <c r="W1025" s="175"/>
      <c r="X1025" s="175"/>
      <c r="Y1025" s="175"/>
      <c r="Z1025" s="175"/>
      <c r="AA1025" s="175"/>
      <c r="AB1025" s="175"/>
      <c r="AC1025" s="175"/>
      <c r="AD1025" s="175"/>
      <c r="AE1025" s="175"/>
    </row>
    <row r="1026" ht="15.75" customHeight="1" spans="1:31">
      <c r="A1026" s="175"/>
      <c r="B1026" s="175"/>
      <c r="C1026" s="239"/>
      <c r="D1026" s="240"/>
      <c r="E1026" s="175"/>
      <c r="F1026" s="175"/>
      <c r="G1026" s="175"/>
      <c r="H1026" s="246"/>
      <c r="I1026" s="249"/>
      <c r="J1026" s="175"/>
      <c r="K1026" s="175"/>
      <c r="L1026" s="175"/>
      <c r="M1026" s="175"/>
      <c r="N1026" s="175"/>
      <c r="O1026" s="175"/>
      <c r="P1026" s="175"/>
      <c r="Q1026" s="175"/>
      <c r="R1026" s="175"/>
      <c r="S1026" s="175"/>
      <c r="T1026" s="175"/>
      <c r="U1026" s="175"/>
      <c r="V1026" s="175"/>
      <c r="W1026" s="175"/>
      <c r="X1026" s="175"/>
      <c r="Y1026" s="175"/>
      <c r="Z1026" s="175"/>
      <c r="AA1026" s="175"/>
      <c r="AB1026" s="175"/>
      <c r="AC1026" s="175"/>
      <c r="AD1026" s="175"/>
      <c r="AE1026" s="175"/>
    </row>
    <row r="1027" ht="15.75" customHeight="1" spans="1:31">
      <c r="A1027" s="175"/>
      <c r="B1027" s="175"/>
      <c r="C1027" s="239"/>
      <c r="D1027" s="240"/>
      <c r="E1027" s="175"/>
      <c r="F1027" s="175"/>
      <c r="G1027" s="175"/>
      <c r="H1027" s="246"/>
      <c r="I1027" s="249"/>
      <c r="J1027" s="175"/>
      <c r="K1027" s="175"/>
      <c r="L1027" s="175"/>
      <c r="M1027" s="175"/>
      <c r="N1027" s="175"/>
      <c r="O1027" s="175"/>
      <c r="P1027" s="175"/>
      <c r="Q1027" s="175"/>
      <c r="R1027" s="175"/>
      <c r="S1027" s="175"/>
      <c r="T1027" s="175"/>
      <c r="U1027" s="175"/>
      <c r="V1027" s="175"/>
      <c r="W1027" s="175"/>
      <c r="X1027" s="175"/>
      <c r="Y1027" s="175"/>
      <c r="Z1027" s="175"/>
      <c r="AA1027" s="175"/>
      <c r="AB1027" s="175"/>
      <c r="AC1027" s="175"/>
      <c r="AD1027" s="175"/>
      <c r="AE1027" s="175"/>
    </row>
    <row r="1028" ht="15.75" customHeight="1" spans="1:31">
      <c r="A1028" s="175"/>
      <c r="B1028" s="175"/>
      <c r="C1028" s="239"/>
      <c r="D1028" s="240"/>
      <c r="E1028" s="175"/>
      <c r="F1028" s="175"/>
      <c r="G1028" s="175"/>
      <c r="H1028" s="246"/>
      <c r="I1028" s="249"/>
      <c r="J1028" s="175"/>
      <c r="K1028" s="175"/>
      <c r="L1028" s="175"/>
      <c r="M1028" s="175"/>
      <c r="N1028" s="175"/>
      <c r="O1028" s="175"/>
      <c r="P1028" s="175"/>
      <c r="Q1028" s="175"/>
      <c r="R1028" s="175"/>
      <c r="S1028" s="175"/>
      <c r="T1028" s="175"/>
      <c r="U1028" s="175"/>
      <c r="V1028" s="175"/>
      <c r="W1028" s="175"/>
      <c r="X1028" s="175"/>
      <c r="Y1028" s="175"/>
      <c r="Z1028" s="175"/>
      <c r="AA1028" s="175"/>
      <c r="AB1028" s="175"/>
      <c r="AC1028" s="175"/>
      <c r="AD1028" s="175"/>
      <c r="AE1028" s="175"/>
    </row>
    <row r="1029" ht="15.75" customHeight="1" spans="1:31">
      <c r="A1029" s="175"/>
      <c r="B1029" s="175"/>
      <c r="C1029" s="239"/>
      <c r="D1029" s="240"/>
      <c r="E1029" s="175"/>
      <c r="F1029" s="175"/>
      <c r="G1029" s="175"/>
      <c r="H1029" s="246"/>
      <c r="I1029" s="249"/>
      <c r="J1029" s="175"/>
      <c r="K1029" s="175"/>
      <c r="L1029" s="175"/>
      <c r="M1029" s="175"/>
      <c r="N1029" s="175"/>
      <c r="O1029" s="175"/>
      <c r="P1029" s="175"/>
      <c r="Q1029" s="175"/>
      <c r="R1029" s="175"/>
      <c r="S1029" s="175"/>
      <c r="T1029" s="175"/>
      <c r="U1029" s="175"/>
      <c r="V1029" s="175"/>
      <c r="W1029" s="175"/>
      <c r="X1029" s="175"/>
      <c r="Y1029" s="175"/>
      <c r="Z1029" s="175"/>
      <c r="AA1029" s="175"/>
      <c r="AB1029" s="175"/>
      <c r="AC1029" s="175"/>
      <c r="AD1029" s="175"/>
      <c r="AE1029" s="175"/>
    </row>
    <row r="1030" ht="15.75" customHeight="1" spans="1:31">
      <c r="A1030" s="175"/>
      <c r="B1030" s="175"/>
      <c r="C1030" s="239"/>
      <c r="D1030" s="240"/>
      <c r="E1030" s="175"/>
      <c r="F1030" s="175"/>
      <c r="G1030" s="175"/>
      <c r="H1030" s="246"/>
      <c r="I1030" s="249"/>
      <c r="J1030" s="175"/>
      <c r="K1030" s="175"/>
      <c r="L1030" s="175"/>
      <c r="M1030" s="175"/>
      <c r="N1030" s="175"/>
      <c r="O1030" s="175"/>
      <c r="P1030" s="175"/>
      <c r="Q1030" s="175"/>
      <c r="R1030" s="175"/>
      <c r="S1030" s="175"/>
      <c r="T1030" s="175"/>
      <c r="U1030" s="175"/>
      <c r="V1030" s="175"/>
      <c r="W1030" s="175"/>
      <c r="X1030" s="175"/>
      <c r="Y1030" s="175"/>
      <c r="Z1030" s="175"/>
      <c r="AA1030" s="175"/>
      <c r="AB1030" s="175"/>
      <c r="AC1030" s="175"/>
      <c r="AD1030" s="175"/>
      <c r="AE1030" s="175"/>
    </row>
    <row r="1031" ht="15.75" customHeight="1" spans="1:31">
      <c r="A1031" s="175"/>
      <c r="B1031" s="175"/>
      <c r="C1031" s="239"/>
      <c r="D1031" s="240"/>
      <c r="E1031" s="175"/>
      <c r="F1031" s="175"/>
      <c r="G1031" s="175"/>
      <c r="H1031" s="246"/>
      <c r="I1031" s="249"/>
      <c r="J1031" s="175"/>
      <c r="K1031" s="175"/>
      <c r="L1031" s="175"/>
      <c r="M1031" s="175"/>
      <c r="N1031" s="175"/>
      <c r="O1031" s="175"/>
      <c r="P1031" s="175"/>
      <c r="Q1031" s="175"/>
      <c r="R1031" s="175"/>
      <c r="S1031" s="175"/>
      <c r="T1031" s="175"/>
      <c r="U1031" s="175"/>
      <c r="V1031" s="175"/>
      <c r="W1031" s="175"/>
      <c r="X1031" s="175"/>
      <c r="Y1031" s="175"/>
      <c r="Z1031" s="175"/>
      <c r="AA1031" s="175"/>
      <c r="AB1031" s="175"/>
      <c r="AC1031" s="175"/>
      <c r="AD1031" s="175"/>
      <c r="AE1031" s="175"/>
    </row>
    <row r="1032" ht="15.75" customHeight="1" spans="1:31">
      <c r="A1032" s="175"/>
      <c r="B1032" s="175"/>
      <c r="C1032" s="239"/>
      <c r="D1032" s="240"/>
      <c r="E1032" s="175"/>
      <c r="F1032" s="175"/>
      <c r="G1032" s="175"/>
      <c r="H1032" s="246"/>
      <c r="I1032" s="249"/>
      <c r="J1032" s="175"/>
      <c r="K1032" s="175"/>
      <c r="L1032" s="175"/>
      <c r="M1032" s="175"/>
      <c r="N1032" s="175"/>
      <c r="O1032" s="175"/>
      <c r="P1032" s="175"/>
      <c r="Q1032" s="175"/>
      <c r="R1032" s="175"/>
      <c r="S1032" s="175"/>
      <c r="T1032" s="175"/>
      <c r="U1032" s="175"/>
      <c r="V1032" s="175"/>
      <c r="W1032" s="175"/>
      <c r="X1032" s="175"/>
      <c r="Y1032" s="175"/>
      <c r="Z1032" s="175"/>
      <c r="AA1032" s="175"/>
      <c r="AB1032" s="175"/>
      <c r="AC1032" s="175"/>
      <c r="AD1032" s="175"/>
      <c r="AE1032" s="175"/>
    </row>
    <row r="1033" ht="15.75" customHeight="1" spans="1:31">
      <c r="A1033" s="175"/>
      <c r="B1033" s="175"/>
      <c r="C1033" s="239"/>
      <c r="D1033" s="240"/>
      <c r="E1033" s="175"/>
      <c r="F1033" s="175"/>
      <c r="G1033" s="175"/>
      <c r="H1033" s="246"/>
      <c r="I1033" s="249"/>
      <c r="J1033" s="175"/>
      <c r="K1033" s="175"/>
      <c r="L1033" s="175"/>
      <c r="M1033" s="175"/>
      <c r="N1033" s="175"/>
      <c r="O1033" s="175"/>
      <c r="P1033" s="175"/>
      <c r="Q1033" s="175"/>
      <c r="R1033" s="175"/>
      <c r="S1033" s="175"/>
      <c r="T1033" s="175"/>
      <c r="U1033" s="175"/>
      <c r="V1033" s="175"/>
      <c r="W1033" s="175"/>
      <c r="X1033" s="175"/>
      <c r="Y1033" s="175"/>
      <c r="Z1033" s="175"/>
      <c r="AA1033" s="175"/>
      <c r="AB1033" s="175"/>
      <c r="AC1033" s="175"/>
      <c r="AD1033" s="175"/>
      <c r="AE1033" s="175"/>
    </row>
    <row r="1034" ht="15.75" customHeight="1" spans="1:31">
      <c r="A1034" s="175"/>
      <c r="B1034" s="175"/>
      <c r="C1034" s="239"/>
      <c r="D1034" s="240"/>
      <c r="E1034" s="175"/>
      <c r="F1034" s="175"/>
      <c r="G1034" s="175"/>
      <c r="H1034" s="246"/>
      <c r="I1034" s="249"/>
      <c r="J1034" s="175"/>
      <c r="K1034" s="175"/>
      <c r="L1034" s="175"/>
      <c r="M1034" s="175"/>
      <c r="N1034" s="175"/>
      <c r="O1034" s="175"/>
      <c r="P1034" s="175"/>
      <c r="Q1034" s="175"/>
      <c r="R1034" s="175"/>
      <c r="S1034" s="175"/>
      <c r="T1034" s="175"/>
      <c r="U1034" s="175"/>
      <c r="V1034" s="175"/>
      <c r="W1034" s="175"/>
      <c r="X1034" s="175"/>
      <c r="Y1034" s="175"/>
      <c r="Z1034" s="175"/>
      <c r="AA1034" s="175"/>
      <c r="AB1034" s="175"/>
      <c r="AC1034" s="175"/>
      <c r="AD1034" s="175"/>
      <c r="AE1034" s="175"/>
    </row>
    <row r="1035" ht="15.75" customHeight="1" spans="1:31">
      <c r="A1035" s="175"/>
      <c r="B1035" s="175"/>
      <c r="C1035" s="239"/>
      <c r="D1035" s="240"/>
      <c r="E1035" s="175"/>
      <c r="F1035" s="175"/>
      <c r="G1035" s="175"/>
      <c r="H1035" s="246"/>
      <c r="I1035" s="249"/>
      <c r="J1035" s="175"/>
      <c r="K1035" s="175"/>
      <c r="L1035" s="175"/>
      <c r="M1035" s="175"/>
      <c r="N1035" s="175"/>
      <c r="O1035" s="175"/>
      <c r="P1035" s="175"/>
      <c r="Q1035" s="175"/>
      <c r="R1035" s="175"/>
      <c r="S1035" s="175"/>
      <c r="T1035" s="175"/>
      <c r="U1035" s="175"/>
      <c r="V1035" s="175"/>
      <c r="W1035" s="175"/>
      <c r="X1035" s="175"/>
      <c r="Y1035" s="175"/>
      <c r="Z1035" s="175"/>
      <c r="AA1035" s="175"/>
      <c r="AB1035" s="175"/>
      <c r="AC1035" s="175"/>
      <c r="AD1035" s="175"/>
      <c r="AE1035" s="175"/>
    </row>
    <row r="1036" ht="15.75" customHeight="1" spans="1:31">
      <c r="A1036" s="175"/>
      <c r="B1036" s="175"/>
      <c r="C1036" s="239"/>
      <c r="D1036" s="240"/>
      <c r="E1036" s="175"/>
      <c r="F1036" s="175"/>
      <c r="G1036" s="175"/>
      <c r="H1036" s="246"/>
      <c r="I1036" s="249"/>
      <c r="J1036" s="175"/>
      <c r="K1036" s="175"/>
      <c r="L1036" s="175"/>
      <c r="M1036" s="175"/>
      <c r="N1036" s="175"/>
      <c r="O1036" s="175"/>
      <c r="P1036" s="175"/>
      <c r="Q1036" s="175"/>
      <c r="R1036" s="175"/>
      <c r="S1036" s="175"/>
      <c r="T1036" s="175"/>
      <c r="U1036" s="175"/>
      <c r="V1036" s="175"/>
      <c r="W1036" s="175"/>
      <c r="X1036" s="175"/>
      <c r="Y1036" s="175"/>
      <c r="Z1036" s="175"/>
      <c r="AA1036" s="175"/>
      <c r="AB1036" s="175"/>
      <c r="AC1036" s="175"/>
      <c r="AD1036" s="175"/>
      <c r="AE1036" s="175"/>
    </row>
    <row r="1037" ht="15.75" customHeight="1" spans="1:31">
      <c r="A1037" s="175"/>
      <c r="B1037" s="175"/>
      <c r="C1037" s="239"/>
      <c r="D1037" s="240"/>
      <c r="E1037" s="175"/>
      <c r="F1037" s="175"/>
      <c r="G1037" s="175"/>
      <c r="H1037" s="246"/>
      <c r="I1037" s="249"/>
      <c r="J1037" s="175"/>
      <c r="K1037" s="175"/>
      <c r="L1037" s="175"/>
      <c r="M1037" s="175"/>
      <c r="N1037" s="175"/>
      <c r="O1037" s="175"/>
      <c r="P1037" s="175"/>
      <c r="Q1037" s="175"/>
      <c r="R1037" s="175"/>
      <c r="S1037" s="175"/>
      <c r="T1037" s="175"/>
      <c r="U1037" s="175"/>
      <c r="V1037" s="175"/>
      <c r="W1037" s="175"/>
      <c r="X1037" s="175"/>
      <c r="Y1037" s="175"/>
      <c r="Z1037" s="175"/>
      <c r="AA1037" s="175"/>
      <c r="AB1037" s="175"/>
      <c r="AC1037" s="175"/>
      <c r="AD1037" s="175"/>
      <c r="AE1037" s="175"/>
    </row>
    <row r="1038" ht="15.75" customHeight="1" spans="1:31">
      <c r="A1038" s="175"/>
      <c r="B1038" s="175"/>
      <c r="C1038" s="239"/>
      <c r="D1038" s="240"/>
      <c r="E1038" s="175"/>
      <c r="F1038" s="175"/>
      <c r="G1038" s="175"/>
      <c r="H1038" s="246"/>
      <c r="I1038" s="249"/>
      <c r="J1038" s="175"/>
      <c r="K1038" s="175"/>
      <c r="L1038" s="175"/>
      <c r="M1038" s="175"/>
      <c r="N1038" s="175"/>
      <c r="O1038" s="175"/>
      <c r="P1038" s="175"/>
      <c r="Q1038" s="175"/>
      <c r="R1038" s="175"/>
      <c r="S1038" s="175"/>
      <c r="T1038" s="175"/>
      <c r="U1038" s="175"/>
      <c r="V1038" s="175"/>
      <c r="W1038" s="175"/>
      <c r="X1038" s="175"/>
      <c r="Y1038" s="175"/>
      <c r="Z1038" s="175"/>
      <c r="AA1038" s="175"/>
      <c r="AB1038" s="175"/>
      <c r="AC1038" s="175"/>
      <c r="AD1038" s="175"/>
      <c r="AE1038" s="175"/>
    </row>
    <row r="1039" ht="15.75" customHeight="1" spans="1:31">
      <c r="A1039" s="175"/>
      <c r="B1039" s="175"/>
      <c r="C1039" s="239"/>
      <c r="D1039" s="240"/>
      <c r="E1039" s="175"/>
      <c r="F1039" s="175"/>
      <c r="G1039" s="175"/>
      <c r="H1039" s="246"/>
      <c r="I1039" s="249"/>
      <c r="J1039" s="175"/>
      <c r="K1039" s="175"/>
      <c r="L1039" s="175"/>
      <c r="M1039" s="175"/>
      <c r="N1039" s="175"/>
      <c r="O1039" s="175"/>
      <c r="P1039" s="175"/>
      <c r="Q1039" s="175"/>
      <c r="R1039" s="175"/>
      <c r="S1039" s="175"/>
      <c r="T1039" s="175"/>
      <c r="U1039" s="175"/>
      <c r="V1039" s="175"/>
      <c r="W1039" s="175"/>
      <c r="X1039" s="175"/>
      <c r="Y1039" s="175"/>
      <c r="Z1039" s="175"/>
      <c r="AA1039" s="175"/>
      <c r="AB1039" s="175"/>
      <c r="AC1039" s="175"/>
      <c r="AD1039" s="175"/>
      <c r="AE1039" s="175"/>
    </row>
    <row r="1040" ht="15.75" customHeight="1" spans="1:31">
      <c r="A1040" s="175"/>
      <c r="B1040" s="175"/>
      <c r="C1040" s="239"/>
      <c r="D1040" s="240"/>
      <c r="E1040" s="175"/>
      <c r="F1040" s="175"/>
      <c r="G1040" s="175"/>
      <c r="H1040" s="246"/>
      <c r="I1040" s="249"/>
      <c r="J1040" s="175"/>
      <c r="K1040" s="175"/>
      <c r="L1040" s="175"/>
      <c r="M1040" s="175"/>
      <c r="N1040" s="175"/>
      <c r="O1040" s="175"/>
      <c r="P1040" s="175"/>
      <c r="Q1040" s="175"/>
      <c r="R1040" s="175"/>
      <c r="S1040" s="175"/>
      <c r="T1040" s="175"/>
      <c r="U1040" s="175"/>
      <c r="V1040" s="175"/>
      <c r="W1040" s="175"/>
      <c r="X1040" s="175"/>
      <c r="Y1040" s="175"/>
      <c r="Z1040" s="175"/>
      <c r="AA1040" s="175"/>
      <c r="AB1040" s="175"/>
      <c r="AC1040" s="175"/>
      <c r="AD1040" s="175"/>
      <c r="AE1040" s="175"/>
    </row>
    <row r="1041" ht="15.75" customHeight="1" spans="1:31">
      <c r="A1041" s="175"/>
      <c r="B1041" s="175"/>
      <c r="C1041" s="239"/>
      <c r="D1041" s="240"/>
      <c r="E1041" s="175"/>
      <c r="F1041" s="175"/>
      <c r="G1041" s="175"/>
      <c r="H1041" s="246"/>
      <c r="I1041" s="249"/>
      <c r="J1041" s="175"/>
      <c r="K1041" s="175"/>
      <c r="L1041" s="175"/>
      <c r="M1041" s="175"/>
      <c r="N1041" s="175"/>
      <c r="O1041" s="175"/>
      <c r="P1041" s="175"/>
      <c r="Q1041" s="175"/>
      <c r="R1041" s="175"/>
      <c r="S1041" s="175"/>
      <c r="T1041" s="175"/>
      <c r="U1041" s="175"/>
      <c r="V1041" s="175"/>
      <c r="W1041" s="175"/>
      <c r="X1041" s="175"/>
      <c r="Y1041" s="175"/>
      <c r="Z1041" s="175"/>
      <c r="AA1041" s="175"/>
      <c r="AB1041" s="175"/>
      <c r="AC1041" s="175"/>
      <c r="AD1041" s="175"/>
      <c r="AE1041" s="175"/>
    </row>
    <row r="1042" ht="15.75" customHeight="1" spans="1:31">
      <c r="A1042" s="175"/>
      <c r="B1042" s="175"/>
      <c r="C1042" s="239"/>
      <c r="D1042" s="240"/>
      <c r="E1042" s="175"/>
      <c r="F1042" s="175"/>
      <c r="G1042" s="175"/>
      <c r="H1042" s="246"/>
      <c r="I1042" s="249"/>
      <c r="J1042" s="175"/>
      <c r="K1042" s="175"/>
      <c r="L1042" s="175"/>
      <c r="M1042" s="175"/>
      <c r="N1042" s="175"/>
      <c r="O1042" s="175"/>
      <c r="P1042" s="175"/>
      <c r="Q1042" s="175"/>
      <c r="R1042" s="175"/>
      <c r="S1042" s="175"/>
      <c r="T1042" s="175"/>
      <c r="U1042" s="175"/>
      <c r="V1042" s="175"/>
      <c r="W1042" s="175"/>
      <c r="X1042" s="175"/>
      <c r="Y1042" s="175"/>
      <c r="Z1042" s="175"/>
      <c r="AA1042" s="175"/>
      <c r="AB1042" s="175"/>
      <c r="AC1042" s="175"/>
      <c r="AD1042" s="175"/>
      <c r="AE1042" s="175"/>
    </row>
    <row r="1043" ht="15.75" customHeight="1" spans="1:31">
      <c r="A1043" s="175"/>
      <c r="B1043" s="175"/>
      <c r="C1043" s="239"/>
      <c r="D1043" s="240"/>
      <c r="E1043" s="175"/>
      <c r="F1043" s="175"/>
      <c r="G1043" s="175"/>
      <c r="H1043" s="246"/>
      <c r="I1043" s="249"/>
      <c r="J1043" s="175"/>
      <c r="K1043" s="175"/>
      <c r="L1043" s="175"/>
      <c r="M1043" s="175"/>
      <c r="N1043" s="175"/>
      <c r="O1043" s="175"/>
      <c r="P1043" s="175"/>
      <c r="Q1043" s="175"/>
      <c r="R1043" s="175"/>
      <c r="S1043" s="175"/>
      <c r="T1043" s="175"/>
      <c r="U1043" s="175"/>
      <c r="V1043" s="175"/>
      <c r="W1043" s="175"/>
      <c r="X1043" s="175"/>
      <c r="Y1043" s="175"/>
      <c r="Z1043" s="175"/>
      <c r="AA1043" s="175"/>
      <c r="AB1043" s="175"/>
      <c r="AC1043" s="175"/>
      <c r="AD1043" s="175"/>
      <c r="AE1043" s="175"/>
    </row>
    <row r="1044" ht="15.75" customHeight="1" spans="1:31">
      <c r="A1044" s="175"/>
      <c r="B1044" s="175"/>
      <c r="C1044" s="239"/>
      <c r="D1044" s="240"/>
      <c r="E1044" s="175"/>
      <c r="F1044" s="175"/>
      <c r="G1044" s="175"/>
      <c r="H1044" s="246"/>
      <c r="I1044" s="249"/>
      <c r="J1044" s="175"/>
      <c r="K1044" s="175"/>
      <c r="L1044" s="175"/>
      <c r="M1044" s="175"/>
      <c r="N1044" s="175"/>
      <c r="O1044" s="175"/>
      <c r="P1044" s="175"/>
      <c r="Q1044" s="175"/>
      <c r="R1044" s="175"/>
      <c r="S1044" s="175"/>
      <c r="T1044" s="175"/>
      <c r="U1044" s="175"/>
      <c r="V1044" s="175"/>
      <c r="W1044" s="175"/>
      <c r="X1044" s="175"/>
      <c r="Y1044" s="175"/>
      <c r="Z1044" s="175"/>
      <c r="AA1044" s="175"/>
      <c r="AB1044" s="175"/>
      <c r="AC1044" s="175"/>
      <c r="AD1044" s="175"/>
      <c r="AE1044" s="175"/>
    </row>
    <row r="1045" ht="15.75" customHeight="1" spans="1:31">
      <c r="A1045" s="175"/>
      <c r="B1045" s="175"/>
      <c r="C1045" s="239"/>
      <c r="D1045" s="240"/>
      <c r="E1045" s="175"/>
      <c r="F1045" s="175"/>
      <c r="G1045" s="175"/>
      <c r="H1045" s="246"/>
      <c r="I1045" s="249"/>
      <c r="J1045" s="175"/>
      <c r="K1045" s="175"/>
      <c r="L1045" s="175"/>
      <c r="M1045" s="175"/>
      <c r="N1045" s="175"/>
      <c r="O1045" s="175"/>
      <c r="P1045" s="175"/>
      <c r="Q1045" s="175"/>
      <c r="R1045" s="175"/>
      <c r="S1045" s="175"/>
      <c r="T1045" s="175"/>
      <c r="U1045" s="175"/>
      <c r="V1045" s="175"/>
      <c r="W1045" s="175"/>
      <c r="X1045" s="175"/>
      <c r="Y1045" s="175"/>
      <c r="Z1045" s="175"/>
      <c r="AA1045" s="175"/>
      <c r="AB1045" s="175"/>
      <c r="AC1045" s="175"/>
      <c r="AD1045" s="175"/>
      <c r="AE1045" s="175"/>
    </row>
    <row r="1046" ht="15.75" customHeight="1" spans="1:31">
      <c r="A1046" s="175"/>
      <c r="B1046" s="175"/>
      <c r="C1046" s="239"/>
      <c r="D1046" s="240"/>
      <c r="E1046" s="175"/>
      <c r="F1046" s="175"/>
      <c r="G1046" s="175"/>
      <c r="H1046" s="246"/>
      <c r="I1046" s="249"/>
      <c r="J1046" s="175"/>
      <c r="K1046" s="175"/>
      <c r="L1046" s="175"/>
      <c r="M1046" s="175"/>
      <c r="N1046" s="175"/>
      <c r="O1046" s="175"/>
      <c r="P1046" s="175"/>
      <c r="Q1046" s="175"/>
      <c r="R1046" s="175"/>
      <c r="S1046" s="175"/>
      <c r="T1046" s="175"/>
      <c r="U1046" s="175"/>
      <c r="V1046" s="175"/>
      <c r="W1046" s="175"/>
      <c r="X1046" s="175"/>
      <c r="Y1046" s="175"/>
      <c r="Z1046" s="175"/>
      <c r="AA1046" s="175"/>
      <c r="AB1046" s="175"/>
      <c r="AC1046" s="175"/>
      <c r="AD1046" s="175"/>
      <c r="AE1046" s="175"/>
    </row>
    <row r="1047" ht="15.75" customHeight="1" spans="1:31">
      <c r="A1047" s="175"/>
      <c r="B1047" s="175"/>
      <c r="C1047" s="239"/>
      <c r="D1047" s="240"/>
      <c r="E1047" s="175"/>
      <c r="F1047" s="175"/>
      <c r="G1047" s="175"/>
      <c r="H1047" s="246"/>
      <c r="I1047" s="249"/>
      <c r="J1047" s="175"/>
      <c r="K1047" s="175"/>
      <c r="L1047" s="175"/>
      <c r="M1047" s="175"/>
      <c r="N1047" s="175"/>
      <c r="O1047" s="175"/>
      <c r="P1047" s="175"/>
      <c r="Q1047" s="175"/>
      <c r="R1047" s="175"/>
      <c r="S1047" s="175"/>
      <c r="T1047" s="175"/>
      <c r="U1047" s="175"/>
      <c r="V1047" s="175"/>
      <c r="W1047" s="175"/>
      <c r="X1047" s="175"/>
      <c r="Y1047" s="175"/>
      <c r="Z1047" s="175"/>
      <c r="AA1047" s="175"/>
      <c r="AB1047" s="175"/>
      <c r="AC1047" s="175"/>
      <c r="AD1047" s="175"/>
      <c r="AE1047" s="175"/>
    </row>
    <row r="1048" ht="15.75" customHeight="1" spans="1:31">
      <c r="A1048" s="175"/>
      <c r="B1048" s="175"/>
      <c r="C1048" s="239"/>
      <c r="D1048" s="240"/>
      <c r="E1048" s="175"/>
      <c r="F1048" s="175"/>
      <c r="G1048" s="175"/>
      <c r="H1048" s="246"/>
      <c r="I1048" s="249"/>
      <c r="J1048" s="175"/>
      <c r="K1048" s="175"/>
      <c r="L1048" s="175"/>
      <c r="M1048" s="175"/>
      <c r="N1048" s="175"/>
      <c r="O1048" s="175"/>
      <c r="P1048" s="175"/>
      <c r="Q1048" s="175"/>
      <c r="R1048" s="175"/>
      <c r="S1048" s="175"/>
      <c r="T1048" s="175"/>
      <c r="U1048" s="175"/>
      <c r="V1048" s="175"/>
      <c r="W1048" s="175"/>
      <c r="X1048" s="175"/>
      <c r="Y1048" s="175"/>
      <c r="Z1048" s="175"/>
      <c r="AA1048" s="175"/>
      <c r="AB1048" s="175"/>
      <c r="AC1048" s="175"/>
      <c r="AD1048" s="175"/>
      <c r="AE1048" s="175"/>
    </row>
  </sheetData>
  <mergeCells count="16">
    <mergeCell ref="A1:A5"/>
    <mergeCell ref="B1:B5"/>
    <mergeCell ref="C1:C5"/>
    <mergeCell ref="D3:D5"/>
    <mergeCell ref="E3:E5"/>
    <mergeCell ref="F3:F5"/>
    <mergeCell ref="G3:G5"/>
    <mergeCell ref="H3:H5"/>
    <mergeCell ref="I3:I5"/>
    <mergeCell ref="J1:J5"/>
    <mergeCell ref="K1:K5"/>
    <mergeCell ref="L1:L5"/>
    <mergeCell ref="M1:M5"/>
    <mergeCell ref="N1:N5"/>
    <mergeCell ref="O1:O5"/>
    <mergeCell ref="D1:I2"/>
  </mergeCells>
  <dataValidations count="1">
    <dataValidation type="list" allowBlank="1" showErrorMessage="1" sqref="O6:O116">
      <formula1>"Invoice,Belum Invoice"</formula1>
    </dataValidation>
  </dataValidation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8DB3E2"/>
    <pageSetUpPr fitToPage="1"/>
  </sheetPr>
  <dimension ref="A1:Z1000"/>
  <sheetViews>
    <sheetView workbookViewId="0">
      <selection activeCell="A1" sqref="A1"/>
    </sheetView>
  </sheetViews>
  <sheetFormatPr defaultColWidth="14.4259259259259" defaultRowHeight="15" customHeight="1"/>
  <cols>
    <col min="1" max="1" width="9" customWidth="1"/>
    <col min="2" max="2" width="33.287037037037" customWidth="1"/>
    <col min="3" max="4" width="9" customWidth="1"/>
    <col min="5" max="5" width="29.8611111111111" customWidth="1"/>
    <col min="6" max="6" width="22" customWidth="1"/>
    <col min="7" max="8" width="9" customWidth="1"/>
    <col min="9" max="9" width="21.4259259259259" customWidth="1"/>
    <col min="10" max="11" width="9" customWidth="1"/>
    <col min="12" max="12" width="34.712962962963" customWidth="1"/>
    <col min="13" max="26" width="9" customWidth="1"/>
  </cols>
  <sheetData>
    <row r="1" ht="12.75" customHeight="1" spans="1:26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ht="22.5" customHeight="1" spans="1:26">
      <c r="A2" s="156"/>
      <c r="B2" s="157" t="s">
        <v>314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ht="12.75" customHeight="1" spans="1:26">
      <c r="A3" s="15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ht="12.75" customHeight="1" spans="1:26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ht="45" customHeight="1" spans="1:26">
      <c r="A5" s="158"/>
      <c r="B5" s="159" t="s">
        <v>315</v>
      </c>
      <c r="C5" s="105"/>
      <c r="D5" s="158"/>
      <c r="E5" s="159" t="s">
        <v>316</v>
      </c>
      <c r="F5" s="105"/>
      <c r="G5" s="158"/>
      <c r="H5" s="160" t="s">
        <v>44</v>
      </c>
      <c r="I5" s="105"/>
      <c r="J5" s="158"/>
      <c r="K5" s="161" t="s">
        <v>317</v>
      </c>
      <c r="L5" s="105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40.5" customHeight="1" spans="1:26">
      <c r="A6" s="156"/>
      <c r="B6" s="162" t="e">
        <f>'Monitoring SPK '!#REF!+#REF!</f>
        <v>#REF!</v>
      </c>
      <c r="C6" s="105"/>
      <c r="D6" s="156"/>
      <c r="E6" s="162" t="e">
        <f>'Monitoring SPK '!#REF!-('Monitoring SPK '!#REF!*5%)</f>
        <v>#REF!</v>
      </c>
      <c r="F6" s="105"/>
      <c r="G6" s="156"/>
      <c r="H6" s="163" t="e">
        <f>'Monitoring SPK '!#REF!+#REF!</f>
        <v>#REF!</v>
      </c>
      <c r="I6" s="105"/>
      <c r="J6" s="156"/>
      <c r="K6" s="164" t="e">
        <f>'Monitoring SPK '!#REF!+#REF!</f>
        <v>#REF!</v>
      </c>
      <c r="L6" s="105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ht="12.75" customHeight="1" spans="1:26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ht="30" customHeight="1" spans="1:26">
      <c r="A8" s="165"/>
      <c r="B8" s="159" t="s">
        <v>318</v>
      </c>
      <c r="C8" s="105"/>
      <c r="D8" s="165"/>
      <c r="E8" s="159" t="s">
        <v>319</v>
      </c>
      <c r="F8" s="105"/>
      <c r="G8" s="165"/>
      <c r="H8" s="160" t="s">
        <v>320</v>
      </c>
      <c r="I8" s="105"/>
      <c r="J8" s="165"/>
      <c r="K8" s="161" t="s">
        <v>321</v>
      </c>
      <c r="L8" s="10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ht="48" customHeight="1" spans="1:26">
      <c r="A9" s="156"/>
      <c r="B9" s="162" t="e">
        <f>#REF!</f>
        <v>#REF!</v>
      </c>
      <c r="C9" s="105"/>
      <c r="D9" s="156"/>
      <c r="E9" s="162" t="e">
        <f>E6-B9</f>
        <v>#REF!</v>
      </c>
      <c r="F9" s="105"/>
      <c r="G9" s="156"/>
      <c r="H9" s="163">
        <v>18</v>
      </c>
      <c r="I9" s="105"/>
      <c r="J9" s="156"/>
      <c r="K9" s="166" t="e">
        <f>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'!#REF!+'Monitoring SPK '!#REF!</f>
        <v>#REF!</v>
      </c>
      <c r="L9" s="105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ht="12.75" customHeight="1" spans="1:26">
      <c r="A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</row>
    <row r="11" ht="12.75" customHeight="1" spans="1:26">
      <c r="A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</row>
    <row r="12" ht="61.5" customHeight="1" spans="1:26">
      <c r="A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</row>
    <row r="13" ht="12.75" customHeight="1" spans="1:26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</row>
    <row r="14" ht="12.75" customHeight="1" spans="1:26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</row>
    <row r="15" ht="12.75" customHeight="1" spans="1:26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</row>
    <row r="16" ht="12.75" customHeight="1" spans="1:26">
      <c r="A16" s="156"/>
      <c r="B16" s="167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</row>
    <row r="17" ht="12.75" customHeight="1" spans="1:26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</row>
    <row r="18" ht="12.75" customHeight="1" spans="1:26">
      <c r="A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</row>
    <row r="19" ht="12.75" customHeight="1" spans="1:26">
      <c r="A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</row>
    <row r="20" ht="12.75" customHeight="1" spans="1:26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 ht="12.75" customHeight="1" spans="1:26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ht="12.75" customHeight="1" spans="1:26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 ht="12.75" customHeight="1" spans="1:26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ht="12.75" customHeight="1" spans="1:26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ht="12.75" customHeight="1" spans="1:26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ht="12.75" customHeight="1" spans="1:26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ht="12.75" customHeight="1" spans="1:26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ht="12.75" customHeight="1" spans="1:26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ht="12.75" customHeight="1" spans="1:26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ht="12.75" customHeight="1" spans="1:26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 ht="12.75" customHeight="1" spans="1:26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 ht="12.75" customHeight="1" spans="1:26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 ht="12.75" customHeight="1" spans="1:26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 ht="12.75" customHeight="1" spans="1:26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 ht="12.75" customHeight="1" spans="1:26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ht="12.75" customHeight="1" spans="1:26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 ht="12.75" customHeight="1" spans="1:26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 ht="12.75" customHeight="1" spans="1:26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ht="12.75" customHeight="1" spans="1:26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 ht="12.75" customHeight="1" spans="1:26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ht="12.75" customHeight="1" spans="1:26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ht="12.75" customHeight="1" spans="1:26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 ht="12.75" customHeight="1" spans="1:26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 ht="12.75" customHeight="1" spans="1:26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 ht="12.75" customHeight="1" spans="1:26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 ht="12.75" customHeight="1" spans="1:26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ht="12.75" customHeight="1" spans="1:26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 ht="12.75" customHeight="1" spans="1:26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ht="12.75" customHeight="1" spans="1:26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ht="12.75" customHeight="1" spans="1:26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 ht="12.75" customHeight="1" spans="1:26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 ht="12.75" customHeight="1" spans="1:26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ht="12.75" customHeight="1" spans="1:26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ht="12.75" customHeight="1" spans="1:26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 ht="12.75" customHeight="1" spans="1:26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 ht="12.75" customHeight="1" spans="1:26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 ht="12.75" customHeight="1" spans="1:26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 ht="12.75" customHeight="1" spans="1:26">
      <c r="A58" s="156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ht="12.75" customHeight="1" spans="1:26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 ht="12.75" customHeight="1" spans="1:26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 ht="12.75" customHeight="1" spans="1:26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 ht="12.75" customHeight="1" spans="1:26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 ht="12.75" customHeight="1" spans="1:26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 ht="12.75" customHeight="1" spans="1:26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 ht="12.75" customHeight="1" spans="1:26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 ht="12.75" customHeight="1" spans="1:26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 ht="12.75" customHeight="1" spans="1:26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ht="12.75" customHeight="1" spans="1:26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ht="12.75" customHeight="1" spans="1:26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ht="12.75" customHeight="1" spans="1:26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ht="12.75" customHeight="1" spans="1:26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ht="12.75" customHeight="1" spans="1:26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 ht="12.75" customHeight="1" spans="1:26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 ht="12.75" customHeight="1" spans="1:26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 ht="12.75" customHeight="1" spans="1:26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 ht="12.75" customHeight="1" spans="1:2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 ht="12.75" customHeight="1" spans="1:26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 ht="12.75" customHeight="1" spans="1:26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 ht="12.75" customHeight="1" spans="1:26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 ht="12.75" customHeight="1" spans="1:26">
      <c r="A80" s="156"/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 ht="12.75" customHeight="1" spans="1:26">
      <c r="A81" s="156"/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 ht="12.75" customHeight="1" spans="1:26">
      <c r="A82" s="156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 ht="12.75" customHeight="1" spans="1:26">
      <c r="A83" s="156"/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 ht="12.75" customHeight="1" spans="1:26">
      <c r="A84" s="156"/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 ht="12.75" customHeight="1" spans="1:26">
      <c r="A85" s="156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 ht="12.75" customHeight="1" spans="1:26">
      <c r="A86" s="156"/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 ht="12.75" customHeight="1" spans="1:26">
      <c r="A87" s="156"/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 ht="12.75" customHeight="1" spans="1:26">
      <c r="A88" s="156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ht="12.75" customHeight="1" spans="1:26">
      <c r="A89" s="156"/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 ht="12.75" customHeight="1" spans="1:26">
      <c r="A90" s="156"/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 ht="12.75" customHeight="1" spans="1:26">
      <c r="A91" s="156"/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 ht="12.75" customHeight="1" spans="1:26">
      <c r="A92" s="15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 ht="12.75" customHeight="1" spans="1:26">
      <c r="A93" s="15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 ht="12.75" customHeight="1" spans="1:26">
      <c r="A94" s="156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 ht="12.75" customHeight="1" spans="1:26">
      <c r="A95" s="156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 ht="12.75" customHeight="1" spans="1:26">
      <c r="A96" s="156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 ht="12.75" customHeight="1" spans="1:26">
      <c r="A97" s="156"/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 ht="12.75" customHeight="1" spans="1:26">
      <c r="A98" s="156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ht="12.75" customHeight="1" spans="1:26">
      <c r="A99" s="156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 ht="12.75" customHeight="1" spans="1:26">
      <c r="A100" s="156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 ht="12.75" customHeight="1" spans="1:26">
      <c r="A101" s="156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 ht="12.75" customHeight="1" spans="1:26">
      <c r="A102" s="156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 ht="12.75" customHeight="1" spans="1:26">
      <c r="A103" s="156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 ht="12.75" customHeight="1" spans="1:26">
      <c r="A104" s="156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 ht="12.75" customHeight="1" spans="1:26">
      <c r="A105" s="156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 ht="12.75" customHeight="1" spans="1:26">
      <c r="A106" s="156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 ht="12.75" customHeight="1" spans="1:26">
      <c r="A107" s="156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 ht="12.75" customHeight="1" spans="1:26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 ht="12.75" customHeight="1" spans="1:26">
      <c r="A109" s="156"/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 ht="12.75" customHeight="1" spans="1:26">
      <c r="A110" s="156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 ht="12.75" customHeight="1" spans="1:26">
      <c r="A111" s="156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 ht="12.75" customHeight="1" spans="1:26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 ht="12.75" customHeight="1" spans="1:26">
      <c r="A113" s="156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 ht="12.75" customHeight="1" spans="1:26">
      <c r="A114" s="156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 ht="12.75" customHeight="1" spans="1:26">
      <c r="A115" s="156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 ht="12.75" customHeight="1" spans="1:26">
      <c r="A116" s="156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 ht="12.75" customHeight="1" spans="1:26">
      <c r="A117" s="156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 ht="12.75" customHeight="1" spans="1:26">
      <c r="A118" s="156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 ht="12.75" customHeight="1" spans="1:26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 ht="12.75" customHeight="1" spans="1:26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 ht="12.75" customHeight="1" spans="1:26">
      <c r="A121" s="156"/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 ht="12.75" customHeight="1" spans="1:26">
      <c r="A122" s="156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 ht="12.75" customHeight="1" spans="1:26">
      <c r="A123" s="156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 ht="12.75" customHeight="1" spans="1:26">
      <c r="A124" s="156"/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 ht="12.75" customHeight="1" spans="1:26">
      <c r="A125" s="156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 ht="12.75" customHeight="1" spans="1:26">
      <c r="A126" s="156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 ht="12.75" customHeight="1" spans="1:26">
      <c r="A127" s="156"/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 ht="12.75" customHeight="1" spans="1:26">
      <c r="A128" s="156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 ht="12.75" customHeight="1" spans="1:26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 ht="12.75" customHeight="1" spans="1:26">
      <c r="A130" s="156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 ht="12.75" customHeight="1" spans="1:26">
      <c r="A131" s="156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 ht="12.75" customHeight="1" spans="1:26">
      <c r="A132" s="156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 ht="12.75" customHeight="1" spans="1:26">
      <c r="A133" s="156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 ht="12.75" customHeight="1" spans="1:26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 ht="12.75" customHeight="1" spans="1:26">
      <c r="A135" s="156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 ht="12.75" customHeight="1" spans="1:26">
      <c r="A136" s="156"/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 ht="12.75" customHeight="1" spans="1:26">
      <c r="A137" s="156"/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 ht="12.75" customHeight="1" spans="1:26">
      <c r="A138" s="156"/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 ht="12.75" customHeight="1" spans="1:26">
      <c r="A139" s="156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 ht="12.75" customHeight="1" spans="1:26">
      <c r="A140" s="156"/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 ht="12.75" customHeight="1" spans="1:26">
      <c r="A141" s="156"/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 ht="12.75" customHeight="1" spans="1:26">
      <c r="A142" s="156"/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 ht="12.75" customHeight="1" spans="1:26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 ht="12.75" customHeight="1" spans="1:26">
      <c r="A144" s="156"/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 ht="12.75" customHeight="1" spans="1:26">
      <c r="A145" s="156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 ht="12.75" customHeight="1" spans="1:26">
      <c r="A146" s="156"/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 ht="12.75" customHeight="1" spans="1:26">
      <c r="A147" s="156"/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 ht="12.75" customHeight="1" spans="1:26">
      <c r="A148" s="156"/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 ht="12.75" customHeight="1" spans="1:26">
      <c r="A149" s="156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 ht="12.75" customHeight="1" spans="1:26">
      <c r="A150" s="156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 ht="12.75" customHeight="1" spans="1:26">
      <c r="A151" s="156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 ht="12.75" customHeight="1" spans="1:26">
      <c r="A152" s="156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 ht="12.75" customHeight="1" spans="1:26">
      <c r="A153" s="156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 ht="12.75" customHeight="1" spans="1:26">
      <c r="A154" s="156"/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 ht="12.75" customHeight="1" spans="1:26">
      <c r="A155" s="156"/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 ht="12.75" customHeight="1" spans="1:26">
      <c r="A156" s="156"/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 ht="12.75" customHeight="1" spans="1:26">
      <c r="A157" s="156"/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 ht="12.75" customHeight="1" spans="1:26">
      <c r="A158" s="156"/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 ht="12.75" customHeight="1" spans="1:26">
      <c r="A159" s="156"/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 ht="12.75" customHeight="1" spans="1:26">
      <c r="A160" s="156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 ht="12.75" customHeight="1" spans="1:26">
      <c r="A161" s="156"/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 ht="12.75" customHeight="1" spans="1:26">
      <c r="A162" s="156"/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 ht="12.75" customHeight="1" spans="1:26">
      <c r="A163" s="156"/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 ht="12.75" customHeight="1" spans="1:26">
      <c r="A164" s="156"/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 ht="12.75" customHeight="1" spans="1:26">
      <c r="A165" s="156"/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 ht="12.75" customHeight="1" spans="1:26">
      <c r="A166" s="156"/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 ht="12.75" customHeight="1" spans="1:26">
      <c r="A167" s="156"/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 ht="12.75" customHeight="1" spans="1:26">
      <c r="A168" s="156"/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 ht="12.75" customHeight="1" spans="1:26">
      <c r="A169" s="156"/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 ht="12.75" customHeight="1" spans="1:26">
      <c r="A170" s="156"/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ht="12.75" customHeight="1" spans="1:26">
      <c r="A171" s="156"/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ht="12.75" customHeight="1" spans="1:26">
      <c r="A172" s="156"/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ht="12.75" customHeight="1" spans="1:26">
      <c r="A173" s="156"/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ht="12.75" customHeight="1" spans="1:26">
      <c r="A174" s="156"/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ht="12.75" customHeight="1" spans="1:26">
      <c r="A175" s="156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ht="12.75" customHeight="1" spans="1:26">
      <c r="A176" s="156"/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ht="12.75" customHeight="1" spans="1:26">
      <c r="A177" s="156"/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ht="12.75" customHeight="1" spans="1:26">
      <c r="A178" s="156"/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ht="12.75" customHeight="1" spans="1:26">
      <c r="A179" s="156"/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ht="12.75" customHeight="1" spans="1:26">
      <c r="A180" s="156"/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ht="12.75" customHeight="1" spans="1:26">
      <c r="A181" s="156"/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ht="12.75" customHeight="1" spans="1:26">
      <c r="A182" s="156"/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ht="12.75" customHeight="1" spans="1:26">
      <c r="A183" s="156"/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ht="12.75" customHeight="1" spans="1:26">
      <c r="A184" s="156"/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ht="12.75" customHeight="1" spans="1:26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ht="12.75" customHeight="1" spans="1:26">
      <c r="A186" s="156"/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ht="12.75" customHeight="1" spans="1:26">
      <c r="A187" s="156"/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ht="12.75" customHeight="1" spans="1:26">
      <c r="A188" s="156"/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ht="12.75" customHeight="1" spans="1:26">
      <c r="A189" s="156"/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ht="12.75" customHeight="1" spans="1:26">
      <c r="A190" s="156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ht="12.75" customHeight="1" spans="1:26">
      <c r="A191" s="156"/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ht="12.75" customHeight="1" spans="1:26">
      <c r="A192" s="156"/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ht="12.75" customHeight="1" spans="1:26">
      <c r="A193" s="156"/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ht="12.75" customHeight="1" spans="1:26">
      <c r="A194" s="156"/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ht="12.75" customHeight="1" spans="1:26">
      <c r="A195" s="156"/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ht="12.75" customHeight="1" spans="1:26">
      <c r="A196" s="156"/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ht="12.75" customHeight="1" spans="1:26">
      <c r="A197" s="156"/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ht="12.75" customHeight="1" spans="1:26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ht="12.75" customHeight="1" spans="1:26">
      <c r="A199" s="156"/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ht="12.75" customHeight="1" spans="1:26">
      <c r="A200" s="156"/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ht="12.75" customHeight="1" spans="1:26">
      <c r="A201" s="156"/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ht="12.75" customHeight="1" spans="1:26">
      <c r="A202" s="156"/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ht="12.75" customHeight="1" spans="1:26">
      <c r="A203" s="156"/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ht="12.75" customHeight="1" spans="1:26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ht="12.75" customHeight="1" spans="1:26">
      <c r="A205" s="156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ht="12.75" customHeight="1" spans="1:26">
      <c r="A206" s="156"/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ht="12.75" customHeight="1" spans="1:26">
      <c r="A207" s="156"/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ht="12.75" customHeight="1" spans="1:26">
      <c r="A208" s="156"/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ht="12.75" customHeight="1" spans="1:26">
      <c r="A209" s="156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ht="12.75" customHeight="1" spans="1:26">
      <c r="A210" s="156"/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ht="12.75" customHeight="1" spans="1:26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ht="12.75" customHeight="1" spans="1:26">
      <c r="A212" s="156"/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ht="12.75" customHeight="1" spans="1:26">
      <c r="A213" s="156"/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ht="12.75" customHeight="1" spans="1:26">
      <c r="A214" s="156"/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ht="12.75" customHeight="1" spans="1:26">
      <c r="A215" s="156"/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ht="12.75" customHeight="1" spans="1:26">
      <c r="A216" s="156"/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ht="12.75" customHeight="1" spans="1:26">
      <c r="A217" s="156"/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ht="12.75" customHeight="1" spans="1:26">
      <c r="A218" s="156"/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ht="12.75" customHeight="1" spans="1:26">
      <c r="A219" s="156"/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ht="12.75" customHeight="1" spans="1:26">
      <c r="A220" s="156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B5:C5"/>
    <mergeCell ref="E5:F5"/>
    <mergeCell ref="H5:I5"/>
    <mergeCell ref="K5:L5"/>
    <mergeCell ref="B6:C6"/>
    <mergeCell ref="E6:F6"/>
    <mergeCell ref="H6:I6"/>
    <mergeCell ref="K6:L6"/>
    <mergeCell ref="B8:C8"/>
    <mergeCell ref="E8:F8"/>
    <mergeCell ref="H8:I8"/>
    <mergeCell ref="K8:L8"/>
    <mergeCell ref="B9:C9"/>
    <mergeCell ref="E9:F9"/>
    <mergeCell ref="H9:I9"/>
    <mergeCell ref="K9:L9"/>
    <mergeCell ref="B2:L3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X1001"/>
  <sheetViews>
    <sheetView workbookViewId="0">
      <pane xSplit="6" ySplit="4" topLeftCell="G5" activePane="bottomRight" state="frozen"/>
      <selection/>
      <selection pane="topRight"/>
      <selection pane="bottomLeft"/>
      <selection pane="bottomRight" activeCell="G5" sqref="G5"/>
    </sheetView>
  </sheetViews>
  <sheetFormatPr defaultColWidth="14.4259259259259" defaultRowHeight="15" customHeight="1"/>
  <cols>
    <col min="1" max="1" width="7.42592592592593" customWidth="1"/>
    <col min="2" max="2" width="11.8611111111111" customWidth="1"/>
    <col min="3" max="3" width="5" customWidth="1"/>
    <col min="4" max="4" width="38.287037037037" customWidth="1"/>
    <col min="5" max="5" width="20.1388888888889" customWidth="1"/>
    <col min="6" max="6" width="7.71296296296296" customWidth="1"/>
    <col min="7" max="7" width="7.28703703703704" customWidth="1"/>
    <col min="8" max="8" width="5.86111111111111" customWidth="1"/>
    <col min="9" max="9" width="7.42592592592593" customWidth="1"/>
    <col min="10" max="10" width="12.1388888888889" customWidth="1"/>
    <col min="11" max="11" width="10.287037037037" customWidth="1"/>
    <col min="12" max="12" width="16.8611111111111" customWidth="1"/>
    <col min="13" max="13" width="23.1388888888889" customWidth="1"/>
    <col min="14" max="19" width="20.1388888888889" customWidth="1"/>
    <col min="20" max="20" width="22.1388888888889" customWidth="1"/>
    <col min="21" max="22" width="20.1388888888889" customWidth="1"/>
    <col min="23" max="23" width="22.1388888888889" customWidth="1"/>
    <col min="24" max="26" width="21.8611111111111" customWidth="1"/>
    <col min="27" max="28" width="20.1388888888889" customWidth="1"/>
    <col min="29" max="29" width="22.1388888888889" customWidth="1"/>
    <col min="30" max="43" width="20.1388888888889" customWidth="1"/>
    <col min="44" max="44" width="17.287037037037" customWidth="1"/>
    <col min="45" max="45" width="25.8611111111111" customWidth="1"/>
    <col min="46" max="46" width="18.1388888888889" customWidth="1"/>
    <col min="47" max="47" width="20.1388888888889" customWidth="1"/>
    <col min="48" max="48" width="25.8611111111111" customWidth="1"/>
    <col min="49" max="49" width="18.1388888888889" customWidth="1"/>
    <col min="50" max="50" width="20.1388888888889" customWidth="1"/>
    <col min="51" max="51" width="21.8611111111111" customWidth="1"/>
    <col min="52" max="52" width="19.8611111111111" customWidth="1"/>
    <col min="53" max="53" width="20.1388888888889" customWidth="1"/>
    <col min="54" max="54" width="25.8611111111111" customWidth="1"/>
    <col min="55" max="55" width="18.1388888888889" customWidth="1"/>
    <col min="56" max="57" width="20.1388888888889" customWidth="1"/>
    <col min="58" max="58" width="18.1388888888889" customWidth="1"/>
    <col min="59" max="60" width="20.1388888888889" customWidth="1"/>
    <col min="61" max="61" width="18.1388888888889" customWidth="1"/>
    <col min="62" max="63" width="20.1388888888889" customWidth="1"/>
    <col min="64" max="64" width="18.1388888888889" customWidth="1"/>
    <col min="65" max="65" width="20.1388888888889" customWidth="1"/>
    <col min="66" max="66" width="25.8611111111111" customWidth="1"/>
    <col min="67" max="67" width="18.1388888888889" customWidth="1"/>
    <col min="68" max="68" width="20.1388888888889" customWidth="1"/>
    <col min="69" max="69" width="25.8611111111111" customWidth="1"/>
    <col min="70" max="71" width="20.1388888888889" customWidth="1"/>
    <col min="72" max="73" width="23.287037037037" customWidth="1"/>
    <col min="74" max="74" width="21.1388888888889" customWidth="1"/>
    <col min="75" max="75" width="23.287037037037" customWidth="1"/>
    <col min="76" max="76" width="7.71296296296296" customWidth="1"/>
  </cols>
  <sheetData>
    <row r="1" ht="15.75" customHeight="1" spans="1:76">
      <c r="A1" s="1" t="s">
        <v>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  <c r="BT1" s="4"/>
      <c r="BU1" s="4"/>
      <c r="BV1" s="4"/>
      <c r="BW1" s="4"/>
      <c r="BX1" s="4"/>
    </row>
    <row r="2" ht="15.75" customHeight="1" spans="1:76">
      <c r="A2" s="5" t="s">
        <v>323</v>
      </c>
      <c r="B2" s="6" t="s">
        <v>324</v>
      </c>
      <c r="C2" s="7"/>
      <c r="D2" s="8" t="s">
        <v>325</v>
      </c>
      <c r="E2" s="2"/>
      <c r="F2" s="2"/>
      <c r="G2" s="2"/>
      <c r="H2" s="2"/>
      <c r="I2" s="7"/>
      <c r="J2" s="5" t="s">
        <v>326</v>
      </c>
      <c r="K2" s="9" t="s">
        <v>327</v>
      </c>
      <c r="L2" s="9" t="s">
        <v>328</v>
      </c>
      <c r="M2" s="9" t="s">
        <v>329</v>
      </c>
      <c r="N2" s="9" t="s">
        <v>330</v>
      </c>
      <c r="O2" s="10">
        <v>46137</v>
      </c>
      <c r="P2" s="11" t="s">
        <v>331</v>
      </c>
      <c r="Q2" s="12" t="s">
        <v>332</v>
      </c>
      <c r="R2" s="5" t="s">
        <v>333</v>
      </c>
      <c r="S2" s="11" t="s">
        <v>334</v>
      </c>
      <c r="T2" s="12" t="s">
        <v>335</v>
      </c>
      <c r="U2" s="10">
        <v>46198</v>
      </c>
      <c r="V2" s="11" t="s">
        <v>336</v>
      </c>
      <c r="W2" s="12" t="s">
        <v>337</v>
      </c>
      <c r="X2" s="10">
        <v>46228</v>
      </c>
      <c r="Y2" s="11" t="s">
        <v>338</v>
      </c>
      <c r="Z2" s="12" t="s">
        <v>339</v>
      </c>
      <c r="AA2" s="5" t="s">
        <v>340</v>
      </c>
      <c r="AB2" s="11" t="s">
        <v>341</v>
      </c>
      <c r="AC2" s="12" t="s">
        <v>342</v>
      </c>
      <c r="AD2" s="10">
        <v>46290</v>
      </c>
      <c r="AE2" s="11" t="s">
        <v>343</v>
      </c>
      <c r="AF2" s="12" t="s">
        <v>344</v>
      </c>
      <c r="AG2" s="5" t="s">
        <v>345</v>
      </c>
      <c r="AH2" s="11" t="s">
        <v>346</v>
      </c>
      <c r="AI2" s="12" t="s">
        <v>347</v>
      </c>
      <c r="AJ2" s="10">
        <v>46351</v>
      </c>
      <c r="AK2" s="11" t="s">
        <v>348</v>
      </c>
      <c r="AL2" s="12" t="s">
        <v>349</v>
      </c>
      <c r="AM2" s="5" t="s">
        <v>350</v>
      </c>
      <c r="AN2" s="11" t="s">
        <v>351</v>
      </c>
      <c r="AO2" s="12" t="s">
        <v>352</v>
      </c>
      <c r="AP2" s="13" t="s">
        <v>353</v>
      </c>
      <c r="AQ2" s="10">
        <v>46048</v>
      </c>
      <c r="AR2" s="11" t="s">
        <v>354</v>
      </c>
      <c r="AS2" s="12" t="s">
        <v>355</v>
      </c>
      <c r="AT2" s="10">
        <v>46079</v>
      </c>
      <c r="AU2" s="11" t="s">
        <v>356</v>
      </c>
      <c r="AV2" s="12" t="s">
        <v>357</v>
      </c>
      <c r="AW2" s="10">
        <v>46107</v>
      </c>
      <c r="AX2" s="11" t="s">
        <v>358</v>
      </c>
      <c r="AY2" s="12" t="s">
        <v>359</v>
      </c>
      <c r="AZ2" s="10">
        <v>46138</v>
      </c>
      <c r="BA2" s="11" t="s">
        <v>331</v>
      </c>
      <c r="BB2" s="12" t="s">
        <v>360</v>
      </c>
      <c r="BC2" s="5" t="s">
        <v>361</v>
      </c>
      <c r="BD2" s="11" t="s">
        <v>334</v>
      </c>
      <c r="BE2" s="12" t="s">
        <v>362</v>
      </c>
      <c r="BF2" s="10">
        <v>46199</v>
      </c>
      <c r="BG2" s="11" t="s">
        <v>336</v>
      </c>
      <c r="BH2" s="12" t="s">
        <v>363</v>
      </c>
      <c r="BI2" s="10">
        <v>46229</v>
      </c>
      <c r="BJ2" s="11" t="s">
        <v>338</v>
      </c>
      <c r="BK2" s="12" t="s">
        <v>364</v>
      </c>
      <c r="BL2" s="5" t="s">
        <v>365</v>
      </c>
      <c r="BM2" s="11" t="s">
        <v>341</v>
      </c>
      <c r="BN2" s="12" t="s">
        <v>366</v>
      </c>
      <c r="BO2" s="10">
        <v>46291</v>
      </c>
      <c r="BP2" s="11" t="s">
        <v>343</v>
      </c>
      <c r="BQ2" s="12" t="s">
        <v>367</v>
      </c>
      <c r="BR2" s="14" t="s">
        <v>368</v>
      </c>
      <c r="BS2" s="11" t="s">
        <v>369</v>
      </c>
      <c r="BT2" s="4"/>
      <c r="BU2" s="4"/>
      <c r="BV2" s="4"/>
      <c r="BW2" s="4"/>
      <c r="BX2" s="4"/>
    </row>
    <row r="3" ht="15.75" customHeight="1" spans="1:76">
      <c r="A3" s="15"/>
      <c r="B3" s="16"/>
      <c r="C3" s="15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5"/>
      <c r="P3" s="18">
        <v>45748</v>
      </c>
      <c r="Q3" s="15"/>
      <c r="R3" s="15"/>
      <c r="S3" s="19">
        <v>45778</v>
      </c>
      <c r="T3" s="15"/>
      <c r="U3" s="20"/>
      <c r="V3" s="21" t="s">
        <v>370</v>
      </c>
      <c r="W3" s="20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22"/>
      <c r="BS3" s="15"/>
      <c r="BT3" s="4"/>
      <c r="BU3" s="4"/>
      <c r="BV3" s="4"/>
      <c r="BW3" s="4"/>
      <c r="BX3" s="4"/>
    </row>
    <row r="4" ht="15.75" customHeight="1" spans="1:76">
      <c r="A4" s="15"/>
      <c r="B4" s="16" t="s">
        <v>371</v>
      </c>
      <c r="C4" s="15"/>
      <c r="D4" s="23" t="s">
        <v>372</v>
      </c>
      <c r="E4" s="2"/>
      <c r="F4" s="2"/>
      <c r="G4" s="2"/>
      <c r="H4" s="2"/>
      <c r="I4" s="2"/>
      <c r="J4" s="2"/>
      <c r="K4" s="2"/>
      <c r="L4" s="2"/>
      <c r="M4" s="2"/>
      <c r="N4" s="7"/>
      <c r="O4" s="15"/>
      <c r="P4" s="15"/>
      <c r="Q4" s="15"/>
      <c r="R4" s="15"/>
      <c r="S4" s="15"/>
      <c r="T4" s="15"/>
      <c r="U4" s="20"/>
      <c r="V4" s="20"/>
      <c r="W4" s="20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22"/>
      <c r="BS4" s="15"/>
      <c r="BT4" s="4"/>
      <c r="BU4" s="4"/>
      <c r="BV4" s="4"/>
      <c r="BW4" s="4"/>
      <c r="BX4" s="4"/>
    </row>
    <row r="5" ht="15.75" customHeight="1" spans="1:76">
      <c r="A5" s="24"/>
      <c r="B5" s="25" t="s">
        <v>373</v>
      </c>
      <c r="C5" s="24"/>
      <c r="D5" s="26" t="s">
        <v>374</v>
      </c>
      <c r="E5" s="2"/>
      <c r="F5" s="7"/>
      <c r="G5" s="27" t="s">
        <v>375</v>
      </c>
      <c r="H5" s="27" t="s">
        <v>376</v>
      </c>
      <c r="I5" s="27" t="s">
        <v>377</v>
      </c>
      <c r="J5" s="27" t="s">
        <v>378</v>
      </c>
      <c r="K5" s="24"/>
      <c r="L5" s="24"/>
      <c r="M5" s="28"/>
      <c r="N5" s="29">
        <f t="shared" ref="N5:BR5" si="0">SUM(N6)</f>
        <v>35200000</v>
      </c>
      <c r="O5" s="29">
        <f t="shared" si="0"/>
        <v>1955556</v>
      </c>
      <c r="P5" s="29" t="e">
        <f t="shared" si="0"/>
        <v>#REF!</v>
      </c>
      <c r="Q5" s="29" t="e">
        <f t="shared" si="0"/>
        <v>#REF!</v>
      </c>
      <c r="R5" s="29">
        <f t="shared" si="0"/>
        <v>1955556</v>
      </c>
      <c r="S5" s="29" t="e">
        <f t="shared" si="0"/>
        <v>#REF!</v>
      </c>
      <c r="T5" s="29" t="e">
        <f t="shared" si="0"/>
        <v>#REF!</v>
      </c>
      <c r="U5" s="29">
        <f t="shared" si="0"/>
        <v>1955556</v>
      </c>
      <c r="V5" s="29">
        <f t="shared" si="0"/>
        <v>0</v>
      </c>
      <c r="W5" s="29" t="e">
        <f t="shared" si="0"/>
        <v>#REF!</v>
      </c>
      <c r="X5" s="29">
        <f t="shared" si="0"/>
        <v>1955556</v>
      </c>
      <c r="Y5" s="29">
        <f t="shared" si="0"/>
        <v>0</v>
      </c>
      <c r="Z5" s="29" t="e">
        <f t="shared" si="0"/>
        <v>#REF!</v>
      </c>
      <c r="AA5" s="29">
        <f t="shared" si="0"/>
        <v>1955556</v>
      </c>
      <c r="AB5" s="29">
        <f t="shared" si="0"/>
        <v>0</v>
      </c>
      <c r="AC5" s="29" t="e">
        <f t="shared" si="0"/>
        <v>#REF!</v>
      </c>
      <c r="AD5" s="29">
        <f t="shared" si="0"/>
        <v>1955556</v>
      </c>
      <c r="AE5" s="29">
        <f t="shared" si="0"/>
        <v>0</v>
      </c>
      <c r="AF5" s="29" t="e">
        <f t="shared" si="0"/>
        <v>#REF!</v>
      </c>
      <c r="AG5" s="29">
        <f t="shared" si="0"/>
        <v>1955556</v>
      </c>
      <c r="AH5" s="29">
        <f t="shared" si="0"/>
        <v>0</v>
      </c>
      <c r="AI5" s="29" t="e">
        <f t="shared" si="0"/>
        <v>#REF!</v>
      </c>
      <c r="AJ5" s="29">
        <f t="shared" si="0"/>
        <v>1955556</v>
      </c>
      <c r="AK5" s="29">
        <f t="shared" si="0"/>
        <v>0</v>
      </c>
      <c r="AL5" s="29" t="e">
        <f t="shared" si="0"/>
        <v>#REF!</v>
      </c>
      <c r="AM5" s="29">
        <f t="shared" si="0"/>
        <v>1955556</v>
      </c>
      <c r="AN5" s="29">
        <f t="shared" si="0"/>
        <v>0</v>
      </c>
      <c r="AO5" s="29" t="e">
        <f t="shared" si="0"/>
        <v>#REF!</v>
      </c>
      <c r="AP5" s="29">
        <f t="shared" si="0"/>
        <v>17600000</v>
      </c>
      <c r="AQ5" s="29">
        <f t="shared" si="0"/>
        <v>1955556</v>
      </c>
      <c r="AR5" s="29">
        <f t="shared" si="0"/>
        <v>0</v>
      </c>
      <c r="AS5" s="29" t="e">
        <f t="shared" si="0"/>
        <v>#REF!</v>
      </c>
      <c r="AT5" s="29">
        <f t="shared" si="0"/>
        <v>1955556</v>
      </c>
      <c r="AU5" s="29">
        <f t="shared" si="0"/>
        <v>0</v>
      </c>
      <c r="AV5" s="29" t="e">
        <f t="shared" si="0"/>
        <v>#REF!</v>
      </c>
      <c r="AW5" s="29">
        <f t="shared" si="0"/>
        <v>1955556</v>
      </c>
      <c r="AX5" s="29">
        <f t="shared" si="0"/>
        <v>0</v>
      </c>
      <c r="AY5" s="29" t="e">
        <f t="shared" si="0"/>
        <v>#REF!</v>
      </c>
      <c r="AZ5" s="29">
        <f t="shared" si="0"/>
        <v>1955556</v>
      </c>
      <c r="BA5" s="29">
        <f t="shared" si="0"/>
        <v>0</v>
      </c>
      <c r="BB5" s="29" t="e">
        <f t="shared" si="0"/>
        <v>#REF!</v>
      </c>
      <c r="BC5" s="29">
        <f t="shared" si="0"/>
        <v>1955556</v>
      </c>
      <c r="BD5" s="29">
        <f t="shared" si="0"/>
        <v>0</v>
      </c>
      <c r="BE5" s="29" t="e">
        <f t="shared" si="0"/>
        <v>#REF!</v>
      </c>
      <c r="BF5" s="29">
        <f t="shared" si="0"/>
        <v>1955556</v>
      </c>
      <c r="BG5" s="29">
        <f t="shared" si="0"/>
        <v>0</v>
      </c>
      <c r="BH5" s="29" t="e">
        <f t="shared" si="0"/>
        <v>#REF!</v>
      </c>
      <c r="BI5" s="29">
        <f t="shared" si="0"/>
        <v>1955556</v>
      </c>
      <c r="BJ5" s="29">
        <f t="shared" si="0"/>
        <v>0</v>
      </c>
      <c r="BK5" s="29" t="e">
        <f t="shared" si="0"/>
        <v>#REF!</v>
      </c>
      <c r="BL5" s="29">
        <f t="shared" si="0"/>
        <v>1955556</v>
      </c>
      <c r="BM5" s="29">
        <f t="shared" si="0"/>
        <v>0</v>
      </c>
      <c r="BN5" s="29" t="e">
        <f t="shared" si="0"/>
        <v>#REF!</v>
      </c>
      <c r="BO5" s="29">
        <f t="shared" si="0"/>
        <v>1955556</v>
      </c>
      <c r="BP5" s="29">
        <f t="shared" si="0"/>
        <v>0</v>
      </c>
      <c r="BQ5" s="29" t="e">
        <f t="shared" si="0"/>
        <v>#REF!</v>
      </c>
      <c r="BR5" s="30">
        <f t="shared" si="0"/>
        <v>17600000</v>
      </c>
      <c r="BS5" s="29"/>
      <c r="BT5" s="4"/>
      <c r="BU5" s="4"/>
      <c r="BV5" s="4"/>
      <c r="BW5" s="4"/>
      <c r="BX5" s="4"/>
    </row>
    <row r="6" ht="15.75" customHeight="1" spans="1:76">
      <c r="A6" s="31">
        <v>4021</v>
      </c>
      <c r="B6" s="32">
        <v>41640</v>
      </c>
      <c r="C6" s="27" t="s">
        <v>379</v>
      </c>
      <c r="D6" s="33" t="s">
        <v>380</v>
      </c>
      <c r="E6" s="2"/>
      <c r="F6" s="7"/>
      <c r="G6" s="34">
        <v>0.2</v>
      </c>
      <c r="H6" s="31">
        <v>2</v>
      </c>
      <c r="I6" s="31">
        <v>2</v>
      </c>
      <c r="J6" s="31">
        <v>18</v>
      </c>
      <c r="K6" s="31">
        <v>1</v>
      </c>
      <c r="L6" s="35" t="s">
        <v>381</v>
      </c>
      <c r="M6" s="36">
        <v>8000000</v>
      </c>
      <c r="N6" s="36">
        <v>35200000</v>
      </c>
      <c r="O6" s="37">
        <v>1955556</v>
      </c>
      <c r="P6" s="38" t="e">
        <f>SUMIF(#REF!,$P$3&amp;B6,#REF!)</f>
        <v>#REF!</v>
      </c>
      <c r="Q6" s="39" t="e">
        <f>O6-P6</f>
        <v>#REF!</v>
      </c>
      <c r="R6" s="37">
        <v>1955556</v>
      </c>
      <c r="S6" s="38" t="e">
        <f>SUMIF(#REF!,$S$3&amp;B6,#REF!)</f>
        <v>#REF!</v>
      </c>
      <c r="T6" s="39" t="e">
        <f>Q6+R6-S6</f>
        <v>#REF!</v>
      </c>
      <c r="U6" s="37">
        <v>1955556</v>
      </c>
      <c r="V6" s="38">
        <v>0</v>
      </c>
      <c r="W6" s="39" t="e">
        <f>T6+U6-V6</f>
        <v>#REF!</v>
      </c>
      <c r="X6" s="37">
        <v>1955556</v>
      </c>
      <c r="Y6" s="38">
        <v>0</v>
      </c>
      <c r="Z6" s="39" t="e">
        <f>W6+X6-Y6</f>
        <v>#REF!</v>
      </c>
      <c r="AA6" s="37">
        <v>1955556</v>
      </c>
      <c r="AB6" s="38">
        <v>0</v>
      </c>
      <c r="AC6" s="39" t="e">
        <f>Z6+AA6-AB6</f>
        <v>#REF!</v>
      </c>
      <c r="AD6" s="37">
        <v>1955556</v>
      </c>
      <c r="AE6" s="38">
        <v>0</v>
      </c>
      <c r="AF6" s="39" t="e">
        <f>AC6+AD6-AE6</f>
        <v>#REF!</v>
      </c>
      <c r="AG6" s="40">
        <v>1955556</v>
      </c>
      <c r="AH6" s="38">
        <v>0</v>
      </c>
      <c r="AI6" s="39" t="e">
        <f>AF6+AG6-AH6</f>
        <v>#REF!</v>
      </c>
      <c r="AJ6" s="37">
        <v>1955556</v>
      </c>
      <c r="AK6" s="38">
        <v>0</v>
      </c>
      <c r="AL6" s="39" t="e">
        <f>AI6+AJ6-AK6</f>
        <v>#REF!</v>
      </c>
      <c r="AM6" s="37">
        <v>1955556</v>
      </c>
      <c r="AN6" s="38">
        <v>0</v>
      </c>
      <c r="AO6" s="39" t="e">
        <f>AL6+AM6-AN6</f>
        <v>#REF!</v>
      </c>
      <c r="AP6" s="41">
        <v>17600000</v>
      </c>
      <c r="AQ6" s="37">
        <v>1955556</v>
      </c>
      <c r="AR6" s="38">
        <v>0</v>
      </c>
      <c r="AS6" s="39" t="e">
        <f>AO6+AQ6-AR6</f>
        <v>#REF!</v>
      </c>
      <c r="AT6" s="37">
        <v>1955556</v>
      </c>
      <c r="AU6" s="38">
        <v>0</v>
      </c>
      <c r="AV6" s="39" t="e">
        <f>AS6+AT6-AU6</f>
        <v>#REF!</v>
      </c>
      <c r="AW6" s="37">
        <v>1955556</v>
      </c>
      <c r="AX6" s="38">
        <v>0</v>
      </c>
      <c r="AY6" s="39" t="e">
        <f>AV6+AW6-AX6</f>
        <v>#REF!</v>
      </c>
      <c r="AZ6" s="37">
        <v>1955556</v>
      </c>
      <c r="BA6" s="38">
        <v>0</v>
      </c>
      <c r="BB6" s="39" t="e">
        <f>AY6+AZ6-BA6</f>
        <v>#REF!</v>
      </c>
      <c r="BC6" s="37">
        <v>1955556</v>
      </c>
      <c r="BD6" s="38">
        <v>0</v>
      </c>
      <c r="BE6" s="39" t="e">
        <f>BB6+BC6-BD6</f>
        <v>#REF!</v>
      </c>
      <c r="BF6" s="37">
        <v>1955556</v>
      </c>
      <c r="BG6" s="38">
        <v>0</v>
      </c>
      <c r="BH6" s="39" t="e">
        <f>BE6+BF6-BG6</f>
        <v>#REF!</v>
      </c>
      <c r="BI6" s="37">
        <v>1955556</v>
      </c>
      <c r="BJ6" s="38">
        <v>0</v>
      </c>
      <c r="BK6" s="39" t="e">
        <f>BH6+BI6-BJ6</f>
        <v>#REF!</v>
      </c>
      <c r="BL6" s="37">
        <v>1955556</v>
      </c>
      <c r="BM6" s="38">
        <v>0</v>
      </c>
      <c r="BN6" s="39" t="e">
        <f>BK6+BL6-BM6</f>
        <v>#REF!</v>
      </c>
      <c r="BO6" s="37">
        <v>1955556</v>
      </c>
      <c r="BP6" s="38">
        <v>0</v>
      </c>
      <c r="BQ6" s="39" t="e">
        <f>BN6+BO6-BP6</f>
        <v>#REF!</v>
      </c>
      <c r="BR6" s="42">
        <v>17600000</v>
      </c>
      <c r="BS6" s="41" t="e">
        <f>P6+S6+V6+Y6+AB6+AE6+AH6+AK6+AN6+AR6+AU6++AX6+BA6+BD6+BG6+BJ6+BM6+BP6</f>
        <v>#REF!</v>
      </c>
      <c r="BT6" s="4"/>
      <c r="BU6" s="4"/>
      <c r="BV6" s="4"/>
      <c r="BW6" s="4"/>
      <c r="BX6" s="4"/>
    </row>
    <row r="7" ht="15.75" customHeight="1" spans="1:76">
      <c r="A7" s="24"/>
      <c r="B7" s="25" t="s">
        <v>382</v>
      </c>
      <c r="C7" s="24"/>
      <c r="D7" s="26" t="s">
        <v>383</v>
      </c>
      <c r="E7" s="2"/>
      <c r="F7" s="7"/>
      <c r="G7" s="24"/>
      <c r="H7" s="24"/>
      <c r="I7" s="24"/>
      <c r="J7" s="24"/>
      <c r="K7" s="24"/>
      <c r="L7" s="24"/>
      <c r="M7" s="28"/>
      <c r="N7" s="29">
        <f t="shared" ref="N7:BR7" si="1">SUM(N8+N12)</f>
        <v>14745600</v>
      </c>
      <c r="O7" s="29">
        <f t="shared" si="1"/>
        <v>819200</v>
      </c>
      <c r="P7" s="29" t="e">
        <f t="shared" si="1"/>
        <v>#REF!</v>
      </c>
      <c r="Q7" s="29" t="e">
        <f t="shared" si="1"/>
        <v>#REF!</v>
      </c>
      <c r="R7" s="29">
        <f t="shared" si="1"/>
        <v>819200</v>
      </c>
      <c r="S7" s="29" t="e">
        <f t="shared" si="1"/>
        <v>#REF!</v>
      </c>
      <c r="T7" s="29" t="e">
        <f t="shared" si="1"/>
        <v>#REF!</v>
      </c>
      <c r="U7" s="29">
        <f t="shared" si="1"/>
        <v>819200</v>
      </c>
      <c r="V7" s="29">
        <f t="shared" si="1"/>
        <v>0</v>
      </c>
      <c r="W7" s="29" t="e">
        <f t="shared" si="1"/>
        <v>#REF!</v>
      </c>
      <c r="X7" s="29">
        <f t="shared" si="1"/>
        <v>819200</v>
      </c>
      <c r="Y7" s="29">
        <f t="shared" si="1"/>
        <v>0</v>
      </c>
      <c r="Z7" s="29" t="e">
        <f t="shared" si="1"/>
        <v>#REF!</v>
      </c>
      <c r="AA7" s="29">
        <f t="shared" si="1"/>
        <v>819200</v>
      </c>
      <c r="AB7" s="29">
        <f t="shared" si="1"/>
        <v>0</v>
      </c>
      <c r="AC7" s="29" t="e">
        <f t="shared" si="1"/>
        <v>#REF!</v>
      </c>
      <c r="AD7" s="29">
        <f t="shared" si="1"/>
        <v>819200</v>
      </c>
      <c r="AE7" s="29">
        <f t="shared" si="1"/>
        <v>0</v>
      </c>
      <c r="AF7" s="29" t="e">
        <f t="shared" si="1"/>
        <v>#REF!</v>
      </c>
      <c r="AG7" s="29">
        <f t="shared" si="1"/>
        <v>819200</v>
      </c>
      <c r="AH7" s="29">
        <f t="shared" si="1"/>
        <v>0</v>
      </c>
      <c r="AI7" s="29" t="e">
        <f t="shared" si="1"/>
        <v>#REF!</v>
      </c>
      <c r="AJ7" s="29">
        <f t="shared" si="1"/>
        <v>819200</v>
      </c>
      <c r="AK7" s="29">
        <f t="shared" si="1"/>
        <v>0</v>
      </c>
      <c r="AL7" s="29" t="e">
        <f t="shared" si="1"/>
        <v>#REF!</v>
      </c>
      <c r="AM7" s="29">
        <f t="shared" si="1"/>
        <v>819200</v>
      </c>
      <c r="AN7" s="29">
        <f t="shared" si="1"/>
        <v>0</v>
      </c>
      <c r="AO7" s="29" t="e">
        <f t="shared" si="1"/>
        <v>#REF!</v>
      </c>
      <c r="AP7" s="29">
        <f t="shared" si="1"/>
        <v>7372800</v>
      </c>
      <c r="AQ7" s="29">
        <f t="shared" si="1"/>
        <v>819200</v>
      </c>
      <c r="AR7" s="29">
        <f t="shared" si="1"/>
        <v>0</v>
      </c>
      <c r="AS7" s="29" t="e">
        <f t="shared" si="1"/>
        <v>#REF!</v>
      </c>
      <c r="AT7" s="29">
        <f t="shared" si="1"/>
        <v>819200</v>
      </c>
      <c r="AU7" s="29">
        <f t="shared" si="1"/>
        <v>0</v>
      </c>
      <c r="AV7" s="29" t="e">
        <f t="shared" si="1"/>
        <v>#REF!</v>
      </c>
      <c r="AW7" s="29">
        <f t="shared" si="1"/>
        <v>819200</v>
      </c>
      <c r="AX7" s="29">
        <f t="shared" si="1"/>
        <v>0</v>
      </c>
      <c r="AY7" s="29" t="e">
        <f t="shared" si="1"/>
        <v>#REF!</v>
      </c>
      <c r="AZ7" s="29">
        <f t="shared" si="1"/>
        <v>819200</v>
      </c>
      <c r="BA7" s="29">
        <f t="shared" si="1"/>
        <v>0</v>
      </c>
      <c r="BB7" s="29" t="e">
        <f t="shared" si="1"/>
        <v>#REF!</v>
      </c>
      <c r="BC7" s="29">
        <f t="shared" si="1"/>
        <v>819200</v>
      </c>
      <c r="BD7" s="29">
        <f t="shared" si="1"/>
        <v>0</v>
      </c>
      <c r="BE7" s="29" t="e">
        <f t="shared" si="1"/>
        <v>#REF!</v>
      </c>
      <c r="BF7" s="29">
        <f t="shared" si="1"/>
        <v>819200</v>
      </c>
      <c r="BG7" s="29">
        <f t="shared" si="1"/>
        <v>0</v>
      </c>
      <c r="BH7" s="29" t="e">
        <f t="shared" si="1"/>
        <v>#REF!</v>
      </c>
      <c r="BI7" s="29">
        <f t="shared" si="1"/>
        <v>819200</v>
      </c>
      <c r="BJ7" s="29">
        <f t="shared" si="1"/>
        <v>0</v>
      </c>
      <c r="BK7" s="29" t="e">
        <f t="shared" si="1"/>
        <v>#REF!</v>
      </c>
      <c r="BL7" s="29">
        <f t="shared" si="1"/>
        <v>819200</v>
      </c>
      <c r="BM7" s="29">
        <f t="shared" si="1"/>
        <v>0</v>
      </c>
      <c r="BN7" s="29" t="e">
        <f t="shared" si="1"/>
        <v>#REF!</v>
      </c>
      <c r="BO7" s="29">
        <f t="shared" si="1"/>
        <v>819200</v>
      </c>
      <c r="BP7" s="29">
        <f t="shared" si="1"/>
        <v>0</v>
      </c>
      <c r="BQ7" s="29" t="e">
        <f t="shared" si="1"/>
        <v>#REF!</v>
      </c>
      <c r="BR7" s="30">
        <f t="shared" si="1"/>
        <v>7372800</v>
      </c>
      <c r="BS7" s="29"/>
      <c r="BT7" s="4"/>
      <c r="BU7" s="4"/>
      <c r="BV7" s="4"/>
      <c r="BW7" s="4"/>
      <c r="BX7" s="4"/>
    </row>
    <row r="8" ht="15.75" customHeight="1" spans="1:76">
      <c r="A8" s="24"/>
      <c r="B8" s="27" t="s">
        <v>384</v>
      </c>
      <c r="C8" s="24"/>
      <c r="D8" s="6" t="s">
        <v>385</v>
      </c>
      <c r="E8" s="2"/>
      <c r="F8" s="7"/>
      <c r="G8" s="24"/>
      <c r="H8" s="24"/>
      <c r="I8" s="24"/>
      <c r="J8" s="24"/>
      <c r="K8" s="24"/>
      <c r="L8" s="24"/>
      <c r="M8" s="28"/>
      <c r="N8" s="43">
        <f t="shared" ref="N8:AG8" si="2">SUM(N9:N11)</f>
        <v>8985600</v>
      </c>
      <c r="O8" s="43">
        <f t="shared" si="2"/>
        <v>499200</v>
      </c>
      <c r="P8" s="43" t="e">
        <f t="shared" si="2"/>
        <v>#REF!</v>
      </c>
      <c r="Q8" s="43" t="e">
        <f t="shared" si="2"/>
        <v>#REF!</v>
      </c>
      <c r="R8" s="43">
        <f t="shared" si="2"/>
        <v>499200</v>
      </c>
      <c r="S8" s="43" t="e">
        <f t="shared" si="2"/>
        <v>#REF!</v>
      </c>
      <c r="T8" s="43" t="e">
        <f t="shared" si="2"/>
        <v>#REF!</v>
      </c>
      <c r="U8" s="43">
        <f t="shared" si="2"/>
        <v>499200</v>
      </c>
      <c r="V8" s="43">
        <f t="shared" si="2"/>
        <v>0</v>
      </c>
      <c r="W8" s="43" t="e">
        <f t="shared" si="2"/>
        <v>#REF!</v>
      </c>
      <c r="X8" s="43">
        <f t="shared" si="2"/>
        <v>499200</v>
      </c>
      <c r="Y8" s="43">
        <f t="shared" si="2"/>
        <v>0</v>
      </c>
      <c r="Z8" s="43" t="e">
        <f t="shared" si="2"/>
        <v>#REF!</v>
      </c>
      <c r="AA8" s="43">
        <f t="shared" si="2"/>
        <v>499200</v>
      </c>
      <c r="AB8" s="43">
        <f t="shared" si="2"/>
        <v>0</v>
      </c>
      <c r="AC8" s="43" t="e">
        <f t="shared" si="2"/>
        <v>#REF!</v>
      </c>
      <c r="AD8" s="43">
        <f t="shared" si="2"/>
        <v>499200</v>
      </c>
      <c r="AE8" s="43">
        <f t="shared" si="2"/>
        <v>0</v>
      </c>
      <c r="AF8" s="43" t="e">
        <f t="shared" si="2"/>
        <v>#REF!</v>
      </c>
      <c r="AG8" s="43">
        <f t="shared" si="2"/>
        <v>499200</v>
      </c>
      <c r="AH8" s="38">
        <v>0</v>
      </c>
      <c r="AI8" s="39" t="e">
        <f t="shared" ref="AI8:AI11" si="3">AF8+AG8-AH8</f>
        <v>#REF!</v>
      </c>
      <c r="AJ8" s="43">
        <f t="shared" ref="AJ8:BR8" si="4">SUM(AJ9:AJ11)</f>
        <v>499200</v>
      </c>
      <c r="AK8" s="43">
        <f t="shared" si="4"/>
        <v>0</v>
      </c>
      <c r="AL8" s="43" t="e">
        <f t="shared" si="4"/>
        <v>#REF!</v>
      </c>
      <c r="AM8" s="43">
        <f t="shared" si="4"/>
        <v>499200</v>
      </c>
      <c r="AN8" s="43">
        <f t="shared" si="4"/>
        <v>0</v>
      </c>
      <c r="AO8" s="43" t="e">
        <f t="shared" si="4"/>
        <v>#REF!</v>
      </c>
      <c r="AP8" s="43">
        <f t="shared" si="4"/>
        <v>4492800</v>
      </c>
      <c r="AQ8" s="43">
        <f t="shared" si="4"/>
        <v>499200</v>
      </c>
      <c r="AR8" s="43">
        <f t="shared" si="4"/>
        <v>0</v>
      </c>
      <c r="AS8" s="43" t="e">
        <f t="shared" si="4"/>
        <v>#REF!</v>
      </c>
      <c r="AT8" s="43">
        <f t="shared" si="4"/>
        <v>499200</v>
      </c>
      <c r="AU8" s="43">
        <f t="shared" si="4"/>
        <v>0</v>
      </c>
      <c r="AV8" s="43" t="e">
        <f t="shared" si="4"/>
        <v>#REF!</v>
      </c>
      <c r="AW8" s="43">
        <f t="shared" si="4"/>
        <v>499200</v>
      </c>
      <c r="AX8" s="43">
        <f t="shared" si="4"/>
        <v>0</v>
      </c>
      <c r="AY8" s="43" t="e">
        <f t="shared" si="4"/>
        <v>#REF!</v>
      </c>
      <c r="AZ8" s="43">
        <f t="shared" si="4"/>
        <v>499200</v>
      </c>
      <c r="BA8" s="43">
        <f t="shared" si="4"/>
        <v>0</v>
      </c>
      <c r="BB8" s="43" t="e">
        <f t="shared" si="4"/>
        <v>#REF!</v>
      </c>
      <c r="BC8" s="43">
        <f t="shared" si="4"/>
        <v>499200</v>
      </c>
      <c r="BD8" s="43">
        <f t="shared" si="4"/>
        <v>0</v>
      </c>
      <c r="BE8" s="43" t="e">
        <f t="shared" si="4"/>
        <v>#REF!</v>
      </c>
      <c r="BF8" s="43">
        <f t="shared" si="4"/>
        <v>499200</v>
      </c>
      <c r="BG8" s="43">
        <f t="shared" si="4"/>
        <v>0</v>
      </c>
      <c r="BH8" s="43" t="e">
        <f t="shared" si="4"/>
        <v>#REF!</v>
      </c>
      <c r="BI8" s="43">
        <f t="shared" si="4"/>
        <v>499200</v>
      </c>
      <c r="BJ8" s="43">
        <f t="shared" si="4"/>
        <v>0</v>
      </c>
      <c r="BK8" s="43" t="e">
        <f t="shared" si="4"/>
        <v>#REF!</v>
      </c>
      <c r="BL8" s="43">
        <f t="shared" si="4"/>
        <v>499200</v>
      </c>
      <c r="BM8" s="43">
        <f t="shared" si="4"/>
        <v>0</v>
      </c>
      <c r="BN8" s="43" t="e">
        <f t="shared" si="4"/>
        <v>#REF!</v>
      </c>
      <c r="BO8" s="43">
        <f t="shared" si="4"/>
        <v>499200</v>
      </c>
      <c r="BP8" s="43">
        <f t="shared" si="4"/>
        <v>0</v>
      </c>
      <c r="BQ8" s="43" t="e">
        <f t="shared" si="4"/>
        <v>#REF!</v>
      </c>
      <c r="BR8" s="44">
        <f t="shared" si="4"/>
        <v>4492800</v>
      </c>
      <c r="BS8" s="43"/>
      <c r="BT8" s="4"/>
      <c r="BU8" s="4"/>
      <c r="BV8" s="4"/>
      <c r="BW8" s="4"/>
      <c r="BX8" s="4"/>
    </row>
    <row r="9" ht="15.75" customHeight="1" spans="1:76">
      <c r="A9" s="31">
        <v>4051</v>
      </c>
      <c r="B9" s="27" t="s">
        <v>386</v>
      </c>
      <c r="C9" s="27" t="s">
        <v>379</v>
      </c>
      <c r="D9" s="33" t="s">
        <v>387</v>
      </c>
      <c r="E9" s="2"/>
      <c r="F9" s="7"/>
      <c r="G9" s="34">
        <v>1</v>
      </c>
      <c r="H9" s="24"/>
      <c r="I9" s="24"/>
      <c r="J9" s="31">
        <v>18</v>
      </c>
      <c r="K9" s="45">
        <v>1</v>
      </c>
      <c r="L9" s="35" t="s">
        <v>381</v>
      </c>
      <c r="M9" s="36">
        <v>19200</v>
      </c>
      <c r="N9" s="37">
        <v>345600</v>
      </c>
      <c r="O9" s="36">
        <v>19200</v>
      </c>
      <c r="P9" s="38" t="e">
        <f>SUMIF(#REF!,$P$3&amp;B9,#REF!)</f>
        <v>#REF!</v>
      </c>
      <c r="Q9" s="39" t="e">
        <f t="shared" ref="Q9:Q11" si="5">O9-P9</f>
        <v>#REF!</v>
      </c>
      <c r="R9" s="36">
        <v>19200</v>
      </c>
      <c r="S9" s="38" t="e">
        <f>SUMIF(#REF!,$S$3&amp;B9,#REF!)</f>
        <v>#REF!</v>
      </c>
      <c r="T9" s="39" t="e">
        <f t="shared" ref="T9:T11" si="6">Q9+R9-S9</f>
        <v>#REF!</v>
      </c>
      <c r="U9" s="36">
        <v>19200</v>
      </c>
      <c r="V9" s="38">
        <v>0</v>
      </c>
      <c r="W9" s="39" t="e">
        <f t="shared" ref="W9:W11" si="7">T9+U9-V9</f>
        <v>#REF!</v>
      </c>
      <c r="X9" s="36">
        <v>19200</v>
      </c>
      <c r="Y9" s="38">
        <v>0</v>
      </c>
      <c r="Z9" s="39" t="e">
        <f t="shared" ref="Z9:Z11" si="8">W9+X9-Y9</f>
        <v>#REF!</v>
      </c>
      <c r="AA9" s="36">
        <v>19200</v>
      </c>
      <c r="AB9" s="38">
        <v>0</v>
      </c>
      <c r="AC9" s="39" t="e">
        <f t="shared" ref="AC9:AC11" si="9">Z9+AA9-AB9</f>
        <v>#REF!</v>
      </c>
      <c r="AD9" s="36">
        <v>19200</v>
      </c>
      <c r="AE9" s="38">
        <v>0</v>
      </c>
      <c r="AF9" s="39" t="e">
        <f t="shared" ref="AF9:AF11" si="10">AC9+AD9-AE9</f>
        <v>#REF!</v>
      </c>
      <c r="AG9" s="36">
        <v>19200</v>
      </c>
      <c r="AH9" s="38">
        <v>0</v>
      </c>
      <c r="AI9" s="39" t="e">
        <f t="shared" si="3"/>
        <v>#REF!</v>
      </c>
      <c r="AJ9" s="36">
        <v>19200</v>
      </c>
      <c r="AK9" s="38">
        <v>0</v>
      </c>
      <c r="AL9" s="39" t="e">
        <f t="shared" ref="AL9:AL11" si="11">AI9+AJ9-AK9</f>
        <v>#REF!</v>
      </c>
      <c r="AM9" s="36">
        <v>19200</v>
      </c>
      <c r="AN9" s="38">
        <v>0</v>
      </c>
      <c r="AO9" s="39" t="e">
        <f t="shared" ref="AO9:AO11" si="12">AL9+AM9-AN9</f>
        <v>#REF!</v>
      </c>
      <c r="AP9" s="36">
        <v>172800</v>
      </c>
      <c r="AQ9" s="36">
        <v>19200</v>
      </c>
      <c r="AR9" s="38">
        <v>0</v>
      </c>
      <c r="AS9" s="39" t="e">
        <f t="shared" ref="AS9:AS11" si="13">AO9+AQ9-AR9</f>
        <v>#REF!</v>
      </c>
      <c r="AT9" s="36">
        <v>19200</v>
      </c>
      <c r="AU9" s="38">
        <v>0</v>
      </c>
      <c r="AV9" s="39" t="e">
        <f t="shared" ref="AV9:AV11" si="14">AS9+AT9-AU9</f>
        <v>#REF!</v>
      </c>
      <c r="AW9" s="36">
        <v>19200</v>
      </c>
      <c r="AX9" s="38">
        <v>0</v>
      </c>
      <c r="AY9" s="39" t="e">
        <f t="shared" ref="AY9:AY11" si="15">AV9+AW9-AX9</f>
        <v>#REF!</v>
      </c>
      <c r="AZ9" s="36">
        <v>19200</v>
      </c>
      <c r="BA9" s="38">
        <v>0</v>
      </c>
      <c r="BB9" s="39" t="e">
        <f t="shared" ref="BB9:BB11" si="16">AY9+AZ9-BA9</f>
        <v>#REF!</v>
      </c>
      <c r="BC9" s="36">
        <v>19200</v>
      </c>
      <c r="BD9" s="38">
        <v>0</v>
      </c>
      <c r="BE9" s="39" t="e">
        <f t="shared" ref="BE9:BE11" si="17">BB9+BC9-BD9</f>
        <v>#REF!</v>
      </c>
      <c r="BF9" s="36">
        <v>19200</v>
      </c>
      <c r="BG9" s="38">
        <v>0</v>
      </c>
      <c r="BH9" s="39" t="e">
        <f t="shared" ref="BH9:BH11" si="18">BE9+BF9-BG9</f>
        <v>#REF!</v>
      </c>
      <c r="BI9" s="36">
        <v>19200</v>
      </c>
      <c r="BJ9" s="38">
        <v>0</v>
      </c>
      <c r="BK9" s="39" t="e">
        <f t="shared" ref="BK9:BK11" si="19">BH9+BI9-BJ9</f>
        <v>#REF!</v>
      </c>
      <c r="BL9" s="36">
        <v>19200</v>
      </c>
      <c r="BM9" s="38">
        <v>0</v>
      </c>
      <c r="BN9" s="39" t="e">
        <f t="shared" ref="BN9:BN11" si="20">BK9+BL9-BM9</f>
        <v>#REF!</v>
      </c>
      <c r="BO9" s="36">
        <v>19200</v>
      </c>
      <c r="BP9" s="38">
        <v>0</v>
      </c>
      <c r="BQ9" s="39" t="e">
        <f t="shared" ref="BQ9:BQ11" si="21">BN9+BO9-BP9</f>
        <v>#REF!</v>
      </c>
      <c r="BR9" s="46">
        <v>172800</v>
      </c>
      <c r="BS9" s="41" t="e">
        <f t="shared" ref="BS9:BS11" si="22">P9+S9+V9+Y9+AB9+AE9+AH9+AK9+AN9+AR9+AU9++AX9+BA9+BD9+BG9+BJ9+BM9+BP9</f>
        <v>#REF!</v>
      </c>
      <c r="BT9" s="4"/>
      <c r="BU9" s="4"/>
      <c r="BV9" s="4"/>
      <c r="BW9" s="4"/>
      <c r="BX9" s="4"/>
    </row>
    <row r="10" ht="15.75" customHeight="1" spans="1:76">
      <c r="A10" s="31">
        <v>4052</v>
      </c>
      <c r="B10" s="27" t="s">
        <v>388</v>
      </c>
      <c r="C10" s="27" t="s">
        <v>379</v>
      </c>
      <c r="D10" s="33" t="s">
        <v>389</v>
      </c>
      <c r="E10" s="2"/>
      <c r="F10" s="7"/>
      <c r="G10" s="34">
        <v>1</v>
      </c>
      <c r="H10" s="24"/>
      <c r="I10" s="24"/>
      <c r="J10" s="31">
        <v>18</v>
      </c>
      <c r="K10" s="45">
        <v>1</v>
      </c>
      <c r="L10" s="35" t="s">
        <v>381</v>
      </c>
      <c r="M10" s="36">
        <v>456000</v>
      </c>
      <c r="N10" s="36">
        <v>8208000</v>
      </c>
      <c r="O10" s="36">
        <v>456000</v>
      </c>
      <c r="P10" s="38" t="e">
        <f>SUMIF(#REF!,$P$3&amp;B10,#REF!)</f>
        <v>#REF!</v>
      </c>
      <c r="Q10" s="39" t="e">
        <f t="shared" si="5"/>
        <v>#REF!</v>
      </c>
      <c r="R10" s="36">
        <v>456000</v>
      </c>
      <c r="S10" s="38" t="e">
        <f>SUMIF(#REF!,$S$3&amp;B10,#REF!)</f>
        <v>#REF!</v>
      </c>
      <c r="T10" s="39" t="e">
        <f t="shared" si="6"/>
        <v>#REF!</v>
      </c>
      <c r="U10" s="36">
        <v>456000</v>
      </c>
      <c r="V10" s="38">
        <v>0</v>
      </c>
      <c r="W10" s="39" t="e">
        <f t="shared" si="7"/>
        <v>#REF!</v>
      </c>
      <c r="X10" s="36">
        <v>456000</v>
      </c>
      <c r="Y10" s="38">
        <v>0</v>
      </c>
      <c r="Z10" s="39" t="e">
        <f t="shared" si="8"/>
        <v>#REF!</v>
      </c>
      <c r="AA10" s="36">
        <v>456000</v>
      </c>
      <c r="AB10" s="38">
        <v>0</v>
      </c>
      <c r="AC10" s="39" t="e">
        <f t="shared" si="9"/>
        <v>#REF!</v>
      </c>
      <c r="AD10" s="36">
        <v>456000</v>
      </c>
      <c r="AE10" s="38">
        <v>0</v>
      </c>
      <c r="AF10" s="39" t="e">
        <f t="shared" si="10"/>
        <v>#REF!</v>
      </c>
      <c r="AG10" s="36">
        <v>456000</v>
      </c>
      <c r="AH10" s="38">
        <v>0</v>
      </c>
      <c r="AI10" s="39" t="e">
        <f t="shared" si="3"/>
        <v>#REF!</v>
      </c>
      <c r="AJ10" s="36">
        <v>456000</v>
      </c>
      <c r="AK10" s="38">
        <v>0</v>
      </c>
      <c r="AL10" s="39" t="e">
        <f t="shared" si="11"/>
        <v>#REF!</v>
      </c>
      <c r="AM10" s="36">
        <v>456000</v>
      </c>
      <c r="AN10" s="38">
        <v>0</v>
      </c>
      <c r="AO10" s="39" t="e">
        <f t="shared" si="12"/>
        <v>#REF!</v>
      </c>
      <c r="AP10" s="36">
        <v>4104000</v>
      </c>
      <c r="AQ10" s="36">
        <v>456000</v>
      </c>
      <c r="AR10" s="38">
        <v>0</v>
      </c>
      <c r="AS10" s="39" t="e">
        <f t="shared" si="13"/>
        <v>#REF!</v>
      </c>
      <c r="AT10" s="36">
        <v>456000</v>
      </c>
      <c r="AU10" s="38">
        <v>0</v>
      </c>
      <c r="AV10" s="39" t="e">
        <f t="shared" si="14"/>
        <v>#REF!</v>
      </c>
      <c r="AW10" s="36">
        <v>456000</v>
      </c>
      <c r="AX10" s="38">
        <v>0</v>
      </c>
      <c r="AY10" s="39" t="e">
        <f t="shared" si="15"/>
        <v>#REF!</v>
      </c>
      <c r="AZ10" s="36">
        <v>456000</v>
      </c>
      <c r="BA10" s="38">
        <v>0</v>
      </c>
      <c r="BB10" s="39" t="e">
        <f t="shared" si="16"/>
        <v>#REF!</v>
      </c>
      <c r="BC10" s="36">
        <v>456000</v>
      </c>
      <c r="BD10" s="38">
        <v>0</v>
      </c>
      <c r="BE10" s="39" t="e">
        <f t="shared" si="17"/>
        <v>#REF!</v>
      </c>
      <c r="BF10" s="36">
        <v>456000</v>
      </c>
      <c r="BG10" s="38">
        <v>0</v>
      </c>
      <c r="BH10" s="39" t="e">
        <f t="shared" si="18"/>
        <v>#REF!</v>
      </c>
      <c r="BI10" s="36">
        <v>456000</v>
      </c>
      <c r="BJ10" s="38">
        <v>0</v>
      </c>
      <c r="BK10" s="39" t="e">
        <f t="shared" si="19"/>
        <v>#REF!</v>
      </c>
      <c r="BL10" s="36">
        <v>456000</v>
      </c>
      <c r="BM10" s="38">
        <v>0</v>
      </c>
      <c r="BN10" s="39" t="e">
        <f t="shared" si="20"/>
        <v>#REF!</v>
      </c>
      <c r="BO10" s="36">
        <v>456000</v>
      </c>
      <c r="BP10" s="38">
        <v>0</v>
      </c>
      <c r="BQ10" s="39" t="e">
        <f t="shared" si="21"/>
        <v>#REF!</v>
      </c>
      <c r="BR10" s="46">
        <v>4104000</v>
      </c>
      <c r="BS10" s="41" t="e">
        <f t="shared" si="22"/>
        <v>#REF!</v>
      </c>
      <c r="BT10" s="4"/>
      <c r="BU10" s="4"/>
      <c r="BV10" s="4"/>
      <c r="BW10" s="4"/>
      <c r="BX10" s="4"/>
    </row>
    <row r="11" ht="15.75" customHeight="1" spans="1:76">
      <c r="A11" s="31">
        <v>4053</v>
      </c>
      <c r="B11" s="27" t="s">
        <v>390</v>
      </c>
      <c r="C11" s="27" t="s">
        <v>379</v>
      </c>
      <c r="D11" s="33" t="s">
        <v>391</v>
      </c>
      <c r="E11" s="2"/>
      <c r="F11" s="7"/>
      <c r="G11" s="34">
        <v>1</v>
      </c>
      <c r="H11" s="24"/>
      <c r="I11" s="24"/>
      <c r="J11" s="31">
        <v>18</v>
      </c>
      <c r="K11" s="45">
        <v>1</v>
      </c>
      <c r="L11" s="35" t="s">
        <v>381</v>
      </c>
      <c r="M11" s="36">
        <v>24000</v>
      </c>
      <c r="N11" s="36">
        <v>432000</v>
      </c>
      <c r="O11" s="36">
        <v>24000</v>
      </c>
      <c r="P11" s="38" t="e">
        <f>SUMIF(#REF!,$P$3&amp;B11,#REF!)</f>
        <v>#REF!</v>
      </c>
      <c r="Q11" s="39" t="e">
        <f t="shared" si="5"/>
        <v>#REF!</v>
      </c>
      <c r="R11" s="36">
        <v>24000</v>
      </c>
      <c r="S11" s="38" t="e">
        <f>SUMIF(#REF!,$S$3&amp;B11,#REF!)</f>
        <v>#REF!</v>
      </c>
      <c r="T11" s="39" t="e">
        <f t="shared" si="6"/>
        <v>#REF!</v>
      </c>
      <c r="U11" s="36">
        <v>24000</v>
      </c>
      <c r="V11" s="38">
        <v>0</v>
      </c>
      <c r="W11" s="39" t="e">
        <f t="shared" si="7"/>
        <v>#REF!</v>
      </c>
      <c r="X11" s="36">
        <v>24000</v>
      </c>
      <c r="Y11" s="38">
        <v>0</v>
      </c>
      <c r="Z11" s="39" t="e">
        <f t="shared" si="8"/>
        <v>#REF!</v>
      </c>
      <c r="AA11" s="36">
        <v>24000</v>
      </c>
      <c r="AB11" s="38">
        <v>0</v>
      </c>
      <c r="AC11" s="39" t="e">
        <f t="shared" si="9"/>
        <v>#REF!</v>
      </c>
      <c r="AD11" s="36">
        <v>24000</v>
      </c>
      <c r="AE11" s="38">
        <v>0</v>
      </c>
      <c r="AF11" s="39" t="e">
        <f t="shared" si="10"/>
        <v>#REF!</v>
      </c>
      <c r="AG11" s="36">
        <v>24000</v>
      </c>
      <c r="AH11" s="38">
        <v>0</v>
      </c>
      <c r="AI11" s="39" t="e">
        <f t="shared" si="3"/>
        <v>#REF!</v>
      </c>
      <c r="AJ11" s="36">
        <v>24000</v>
      </c>
      <c r="AK11" s="38">
        <v>0</v>
      </c>
      <c r="AL11" s="39" t="e">
        <f t="shared" si="11"/>
        <v>#REF!</v>
      </c>
      <c r="AM11" s="36">
        <v>24000</v>
      </c>
      <c r="AN11" s="38">
        <v>0</v>
      </c>
      <c r="AO11" s="39" t="e">
        <f t="shared" si="12"/>
        <v>#REF!</v>
      </c>
      <c r="AP11" s="36">
        <v>216000</v>
      </c>
      <c r="AQ11" s="36">
        <v>24000</v>
      </c>
      <c r="AR11" s="38">
        <v>0</v>
      </c>
      <c r="AS11" s="39" t="e">
        <f t="shared" si="13"/>
        <v>#REF!</v>
      </c>
      <c r="AT11" s="36">
        <v>24000</v>
      </c>
      <c r="AU11" s="38">
        <v>0</v>
      </c>
      <c r="AV11" s="39" t="e">
        <f t="shared" si="14"/>
        <v>#REF!</v>
      </c>
      <c r="AW11" s="36">
        <v>24000</v>
      </c>
      <c r="AX11" s="38">
        <v>0</v>
      </c>
      <c r="AY11" s="39" t="e">
        <f t="shared" si="15"/>
        <v>#REF!</v>
      </c>
      <c r="AZ11" s="36">
        <v>24000</v>
      </c>
      <c r="BA11" s="38">
        <v>0</v>
      </c>
      <c r="BB11" s="39" t="e">
        <f t="shared" si="16"/>
        <v>#REF!</v>
      </c>
      <c r="BC11" s="36">
        <v>24000</v>
      </c>
      <c r="BD11" s="38">
        <v>0</v>
      </c>
      <c r="BE11" s="39" t="e">
        <f t="shared" si="17"/>
        <v>#REF!</v>
      </c>
      <c r="BF11" s="36">
        <v>24000</v>
      </c>
      <c r="BG11" s="38">
        <v>0</v>
      </c>
      <c r="BH11" s="39" t="e">
        <f t="shared" si="18"/>
        <v>#REF!</v>
      </c>
      <c r="BI11" s="36">
        <v>24000</v>
      </c>
      <c r="BJ11" s="38">
        <v>0</v>
      </c>
      <c r="BK11" s="39" t="e">
        <f t="shared" si="19"/>
        <v>#REF!</v>
      </c>
      <c r="BL11" s="36">
        <v>24000</v>
      </c>
      <c r="BM11" s="38">
        <v>0</v>
      </c>
      <c r="BN11" s="39" t="e">
        <f t="shared" si="20"/>
        <v>#REF!</v>
      </c>
      <c r="BO11" s="36">
        <v>24000</v>
      </c>
      <c r="BP11" s="38">
        <v>0</v>
      </c>
      <c r="BQ11" s="39" t="e">
        <f t="shared" si="21"/>
        <v>#REF!</v>
      </c>
      <c r="BR11" s="46">
        <v>216000</v>
      </c>
      <c r="BS11" s="41" t="e">
        <f t="shared" si="22"/>
        <v>#REF!</v>
      </c>
      <c r="BT11" s="4"/>
      <c r="BU11" s="4"/>
      <c r="BV11" s="4"/>
      <c r="BW11" s="4"/>
      <c r="BX11" s="4"/>
    </row>
    <row r="12" ht="15.75" customHeight="1" spans="1:76">
      <c r="A12" s="24"/>
      <c r="B12" s="27" t="s">
        <v>392</v>
      </c>
      <c r="C12" s="27" t="s">
        <v>379</v>
      </c>
      <c r="D12" s="6" t="s">
        <v>393</v>
      </c>
      <c r="E12" s="2"/>
      <c r="F12" s="7"/>
      <c r="G12" s="24"/>
      <c r="H12" s="24"/>
      <c r="I12" s="24"/>
      <c r="J12" s="24"/>
      <c r="K12" s="24"/>
      <c r="L12" s="24"/>
      <c r="M12" s="28"/>
      <c r="N12" s="43">
        <f t="shared" ref="N12:BR12" si="23">SUM(N13)</f>
        <v>5760000</v>
      </c>
      <c r="O12" s="43">
        <f t="shared" si="23"/>
        <v>320000</v>
      </c>
      <c r="P12" s="43" t="e">
        <f t="shared" si="23"/>
        <v>#REF!</v>
      </c>
      <c r="Q12" s="43" t="e">
        <f t="shared" si="23"/>
        <v>#REF!</v>
      </c>
      <c r="R12" s="43">
        <f t="shared" si="23"/>
        <v>320000</v>
      </c>
      <c r="S12" s="43" t="e">
        <f t="shared" si="23"/>
        <v>#REF!</v>
      </c>
      <c r="T12" s="43" t="e">
        <f t="shared" si="23"/>
        <v>#REF!</v>
      </c>
      <c r="U12" s="43">
        <f t="shared" si="23"/>
        <v>320000</v>
      </c>
      <c r="V12" s="43">
        <f t="shared" si="23"/>
        <v>0</v>
      </c>
      <c r="W12" s="43" t="e">
        <f t="shared" si="23"/>
        <v>#REF!</v>
      </c>
      <c r="X12" s="43">
        <f t="shared" si="23"/>
        <v>320000</v>
      </c>
      <c r="Y12" s="43">
        <f t="shared" si="23"/>
        <v>0</v>
      </c>
      <c r="Z12" s="43" t="e">
        <f t="shared" si="23"/>
        <v>#REF!</v>
      </c>
      <c r="AA12" s="43">
        <f t="shared" si="23"/>
        <v>320000</v>
      </c>
      <c r="AB12" s="43">
        <f t="shared" si="23"/>
        <v>0</v>
      </c>
      <c r="AC12" s="43" t="e">
        <f t="shared" si="23"/>
        <v>#REF!</v>
      </c>
      <c r="AD12" s="43">
        <f t="shared" si="23"/>
        <v>320000</v>
      </c>
      <c r="AE12" s="43">
        <f t="shared" si="23"/>
        <v>0</v>
      </c>
      <c r="AF12" s="43" t="e">
        <f t="shared" si="23"/>
        <v>#REF!</v>
      </c>
      <c r="AG12" s="43">
        <f t="shared" si="23"/>
        <v>320000</v>
      </c>
      <c r="AH12" s="43">
        <f t="shared" si="23"/>
        <v>0</v>
      </c>
      <c r="AI12" s="43" t="e">
        <f t="shared" si="23"/>
        <v>#REF!</v>
      </c>
      <c r="AJ12" s="43">
        <f t="shared" si="23"/>
        <v>320000</v>
      </c>
      <c r="AK12" s="43">
        <f t="shared" si="23"/>
        <v>0</v>
      </c>
      <c r="AL12" s="43" t="e">
        <f t="shared" si="23"/>
        <v>#REF!</v>
      </c>
      <c r="AM12" s="43">
        <f t="shared" si="23"/>
        <v>320000</v>
      </c>
      <c r="AN12" s="43">
        <f t="shared" si="23"/>
        <v>0</v>
      </c>
      <c r="AO12" s="43" t="e">
        <f t="shared" si="23"/>
        <v>#REF!</v>
      </c>
      <c r="AP12" s="43">
        <f t="shared" si="23"/>
        <v>2880000</v>
      </c>
      <c r="AQ12" s="43">
        <f t="shared" si="23"/>
        <v>320000</v>
      </c>
      <c r="AR12" s="43">
        <f t="shared" si="23"/>
        <v>0</v>
      </c>
      <c r="AS12" s="43" t="e">
        <f t="shared" si="23"/>
        <v>#REF!</v>
      </c>
      <c r="AT12" s="43">
        <f t="shared" si="23"/>
        <v>320000</v>
      </c>
      <c r="AU12" s="43">
        <f t="shared" si="23"/>
        <v>0</v>
      </c>
      <c r="AV12" s="43" t="e">
        <f t="shared" si="23"/>
        <v>#REF!</v>
      </c>
      <c r="AW12" s="43">
        <f t="shared" si="23"/>
        <v>320000</v>
      </c>
      <c r="AX12" s="43">
        <f t="shared" si="23"/>
        <v>0</v>
      </c>
      <c r="AY12" s="43" t="e">
        <f t="shared" si="23"/>
        <v>#REF!</v>
      </c>
      <c r="AZ12" s="43">
        <f t="shared" si="23"/>
        <v>320000</v>
      </c>
      <c r="BA12" s="43">
        <f t="shared" si="23"/>
        <v>0</v>
      </c>
      <c r="BB12" s="43" t="e">
        <f t="shared" si="23"/>
        <v>#REF!</v>
      </c>
      <c r="BC12" s="43">
        <f t="shared" si="23"/>
        <v>320000</v>
      </c>
      <c r="BD12" s="43">
        <f t="shared" si="23"/>
        <v>0</v>
      </c>
      <c r="BE12" s="43" t="e">
        <f t="shared" si="23"/>
        <v>#REF!</v>
      </c>
      <c r="BF12" s="43">
        <f t="shared" si="23"/>
        <v>320000</v>
      </c>
      <c r="BG12" s="43">
        <f t="shared" si="23"/>
        <v>0</v>
      </c>
      <c r="BH12" s="43" t="e">
        <f t="shared" si="23"/>
        <v>#REF!</v>
      </c>
      <c r="BI12" s="43">
        <f t="shared" si="23"/>
        <v>320000</v>
      </c>
      <c r="BJ12" s="43">
        <f t="shared" si="23"/>
        <v>0</v>
      </c>
      <c r="BK12" s="43" t="e">
        <f t="shared" si="23"/>
        <v>#REF!</v>
      </c>
      <c r="BL12" s="43">
        <f t="shared" si="23"/>
        <v>320000</v>
      </c>
      <c r="BM12" s="43">
        <f t="shared" si="23"/>
        <v>0</v>
      </c>
      <c r="BN12" s="43" t="e">
        <f t="shared" si="23"/>
        <v>#REF!</v>
      </c>
      <c r="BO12" s="43">
        <f t="shared" si="23"/>
        <v>320000</v>
      </c>
      <c r="BP12" s="43">
        <f t="shared" si="23"/>
        <v>0</v>
      </c>
      <c r="BQ12" s="43" t="e">
        <f t="shared" si="23"/>
        <v>#REF!</v>
      </c>
      <c r="BR12" s="44">
        <f t="shared" si="23"/>
        <v>2880000</v>
      </c>
      <c r="BS12" s="43"/>
      <c r="BT12" s="4"/>
      <c r="BU12" s="4"/>
      <c r="BV12" s="4"/>
      <c r="BW12" s="4"/>
      <c r="BX12" s="4"/>
    </row>
    <row r="13" ht="15.75" customHeight="1" spans="1:76">
      <c r="A13" s="31">
        <v>4061</v>
      </c>
      <c r="B13" s="27" t="s">
        <v>394</v>
      </c>
      <c r="C13" s="27" t="s">
        <v>379</v>
      </c>
      <c r="D13" s="33" t="s">
        <v>395</v>
      </c>
      <c r="E13" s="2"/>
      <c r="F13" s="7"/>
      <c r="G13" s="34">
        <v>1</v>
      </c>
      <c r="H13" s="24"/>
      <c r="I13" s="24"/>
      <c r="J13" s="31">
        <v>18</v>
      </c>
      <c r="K13" s="45">
        <v>1</v>
      </c>
      <c r="L13" s="35" t="s">
        <v>381</v>
      </c>
      <c r="M13" s="36">
        <v>320000</v>
      </c>
      <c r="N13" s="36">
        <v>5760000</v>
      </c>
      <c r="O13" s="36">
        <v>320000</v>
      </c>
      <c r="P13" s="38" t="e">
        <f>SUMIF(#REF!,$P$3&amp;B13,#REF!)</f>
        <v>#REF!</v>
      </c>
      <c r="Q13" s="39" t="e">
        <f>O13-P13</f>
        <v>#REF!</v>
      </c>
      <c r="R13" s="36">
        <v>320000</v>
      </c>
      <c r="S13" s="38" t="e">
        <f>SUMIF(#REF!,$S$3&amp;B13,#REF!)</f>
        <v>#REF!</v>
      </c>
      <c r="T13" s="39" t="e">
        <f>Q13+R13-S13</f>
        <v>#REF!</v>
      </c>
      <c r="U13" s="36">
        <v>320000</v>
      </c>
      <c r="V13" s="38">
        <v>0</v>
      </c>
      <c r="W13" s="39" t="e">
        <f>T13+U13-V13</f>
        <v>#REF!</v>
      </c>
      <c r="X13" s="36">
        <v>320000</v>
      </c>
      <c r="Y13" s="38">
        <v>0</v>
      </c>
      <c r="Z13" s="39" t="e">
        <f>W13+X13-Y13</f>
        <v>#REF!</v>
      </c>
      <c r="AA13" s="36">
        <v>320000</v>
      </c>
      <c r="AB13" s="38">
        <v>0</v>
      </c>
      <c r="AC13" s="39" t="e">
        <f>Z13+AA13-AB13</f>
        <v>#REF!</v>
      </c>
      <c r="AD13" s="36">
        <v>320000</v>
      </c>
      <c r="AE13" s="38">
        <v>0</v>
      </c>
      <c r="AF13" s="39" t="e">
        <f>AC13+AD13-AE13</f>
        <v>#REF!</v>
      </c>
      <c r="AG13" s="36">
        <v>320000</v>
      </c>
      <c r="AH13" s="38">
        <v>0</v>
      </c>
      <c r="AI13" s="39" t="e">
        <f>AF13+AG13-AH13</f>
        <v>#REF!</v>
      </c>
      <c r="AJ13" s="36">
        <v>320000</v>
      </c>
      <c r="AK13" s="38">
        <v>0</v>
      </c>
      <c r="AL13" s="39" t="e">
        <f>AI13+AJ13-AK13</f>
        <v>#REF!</v>
      </c>
      <c r="AM13" s="36">
        <v>320000</v>
      </c>
      <c r="AN13" s="38">
        <v>0</v>
      </c>
      <c r="AO13" s="39" t="e">
        <f>AL13+AM13-AN13</f>
        <v>#REF!</v>
      </c>
      <c r="AP13" s="36">
        <v>2880000</v>
      </c>
      <c r="AQ13" s="36">
        <v>320000</v>
      </c>
      <c r="AR13" s="38">
        <v>0</v>
      </c>
      <c r="AS13" s="39" t="e">
        <f>AO13+AQ13-AR13</f>
        <v>#REF!</v>
      </c>
      <c r="AT13" s="36">
        <v>320000</v>
      </c>
      <c r="AU13" s="38">
        <v>0</v>
      </c>
      <c r="AV13" s="39" t="e">
        <f>AS13+AT13-AU13</f>
        <v>#REF!</v>
      </c>
      <c r="AW13" s="36">
        <v>320000</v>
      </c>
      <c r="AX13" s="38">
        <v>0</v>
      </c>
      <c r="AY13" s="39" t="e">
        <f>AV13+AW13-AX13</f>
        <v>#REF!</v>
      </c>
      <c r="AZ13" s="36">
        <v>320000</v>
      </c>
      <c r="BA13" s="38">
        <v>0</v>
      </c>
      <c r="BB13" s="39" t="e">
        <f>AY13+AZ13-BA13</f>
        <v>#REF!</v>
      </c>
      <c r="BC13" s="36">
        <v>320000</v>
      </c>
      <c r="BD13" s="38">
        <v>0</v>
      </c>
      <c r="BE13" s="39" t="e">
        <f>BB13+BC13-BD13</f>
        <v>#REF!</v>
      </c>
      <c r="BF13" s="36">
        <v>320000</v>
      </c>
      <c r="BG13" s="38">
        <v>0</v>
      </c>
      <c r="BH13" s="39" t="e">
        <f>BE13+BF13-BG13</f>
        <v>#REF!</v>
      </c>
      <c r="BI13" s="36">
        <v>320000</v>
      </c>
      <c r="BJ13" s="38">
        <v>0</v>
      </c>
      <c r="BK13" s="39" t="e">
        <f>BH13+BI13-BJ13</f>
        <v>#REF!</v>
      </c>
      <c r="BL13" s="36">
        <v>320000</v>
      </c>
      <c r="BM13" s="38">
        <v>0</v>
      </c>
      <c r="BN13" s="39" t="e">
        <f>BK13+BL13-BM13</f>
        <v>#REF!</v>
      </c>
      <c r="BO13" s="36">
        <v>320000</v>
      </c>
      <c r="BP13" s="38">
        <v>0</v>
      </c>
      <c r="BQ13" s="39" t="e">
        <f>BN13+BO13-BP13</f>
        <v>#REF!</v>
      </c>
      <c r="BR13" s="46">
        <v>2880000</v>
      </c>
      <c r="BS13" s="41" t="e">
        <f>P13+S13+V13+Y13+AB13+AE13+AH13+AK13+AN13+AR13+AU13++AX13+BA13+BD13+BG13+BJ13+BM13+BP13</f>
        <v>#REF!</v>
      </c>
      <c r="BT13" s="4"/>
      <c r="BU13" s="4"/>
      <c r="BV13" s="4"/>
      <c r="BW13" s="4"/>
      <c r="BX13" s="4"/>
    </row>
    <row r="14" ht="15.75" customHeight="1" spans="1:76">
      <c r="A14" s="24"/>
      <c r="B14" s="47">
        <v>1.5</v>
      </c>
      <c r="C14" s="24"/>
      <c r="D14" s="26" t="s">
        <v>396</v>
      </c>
      <c r="E14" s="2"/>
      <c r="F14" s="7"/>
      <c r="G14" s="24"/>
      <c r="H14" s="24"/>
      <c r="I14" s="24"/>
      <c r="J14" s="24"/>
      <c r="K14" s="24"/>
      <c r="L14" s="24"/>
      <c r="M14" s="28"/>
      <c r="N14" s="29">
        <f t="shared" ref="N14:BR14" si="24">SUM(N15)</f>
        <v>60873840</v>
      </c>
      <c r="O14" s="29">
        <f t="shared" si="24"/>
        <v>3381880</v>
      </c>
      <c r="P14" s="29" t="e">
        <f t="shared" si="24"/>
        <v>#REF!</v>
      </c>
      <c r="Q14" s="29" t="e">
        <f t="shared" si="24"/>
        <v>#REF!</v>
      </c>
      <c r="R14" s="29">
        <f t="shared" si="24"/>
        <v>3381880</v>
      </c>
      <c r="S14" s="29" t="e">
        <f t="shared" si="24"/>
        <v>#REF!</v>
      </c>
      <c r="T14" s="29" t="e">
        <f t="shared" si="24"/>
        <v>#REF!</v>
      </c>
      <c r="U14" s="29">
        <f t="shared" si="24"/>
        <v>3381880</v>
      </c>
      <c r="V14" s="29">
        <f t="shared" si="24"/>
        <v>0</v>
      </c>
      <c r="W14" s="29" t="e">
        <f t="shared" si="24"/>
        <v>#REF!</v>
      </c>
      <c r="X14" s="29">
        <f t="shared" si="24"/>
        <v>3381880</v>
      </c>
      <c r="Y14" s="29">
        <f t="shared" si="24"/>
        <v>0</v>
      </c>
      <c r="Z14" s="29" t="e">
        <f t="shared" si="24"/>
        <v>#REF!</v>
      </c>
      <c r="AA14" s="29">
        <f t="shared" si="24"/>
        <v>3381880</v>
      </c>
      <c r="AB14" s="29">
        <f t="shared" si="24"/>
        <v>0</v>
      </c>
      <c r="AC14" s="29" t="e">
        <f t="shared" si="24"/>
        <v>#REF!</v>
      </c>
      <c r="AD14" s="29">
        <f t="shared" si="24"/>
        <v>3381880</v>
      </c>
      <c r="AE14" s="29">
        <f t="shared" si="24"/>
        <v>0</v>
      </c>
      <c r="AF14" s="29" t="e">
        <f t="shared" si="24"/>
        <v>#REF!</v>
      </c>
      <c r="AG14" s="29">
        <f t="shared" si="24"/>
        <v>3381880</v>
      </c>
      <c r="AH14" s="29">
        <f t="shared" si="24"/>
        <v>0</v>
      </c>
      <c r="AI14" s="29" t="e">
        <f t="shared" si="24"/>
        <v>#REF!</v>
      </c>
      <c r="AJ14" s="29">
        <f t="shared" si="24"/>
        <v>3381880</v>
      </c>
      <c r="AK14" s="29">
        <f t="shared" si="24"/>
        <v>0</v>
      </c>
      <c r="AL14" s="29" t="e">
        <f t="shared" si="24"/>
        <v>#REF!</v>
      </c>
      <c r="AM14" s="29">
        <f t="shared" si="24"/>
        <v>3381880</v>
      </c>
      <c r="AN14" s="29">
        <f t="shared" si="24"/>
        <v>0</v>
      </c>
      <c r="AO14" s="29" t="e">
        <f t="shared" si="24"/>
        <v>#REF!</v>
      </c>
      <c r="AP14" s="29">
        <f t="shared" si="24"/>
        <v>30436920</v>
      </c>
      <c r="AQ14" s="29">
        <f t="shared" si="24"/>
        <v>3381880</v>
      </c>
      <c r="AR14" s="29">
        <f t="shared" si="24"/>
        <v>0</v>
      </c>
      <c r="AS14" s="29" t="e">
        <f t="shared" si="24"/>
        <v>#REF!</v>
      </c>
      <c r="AT14" s="29">
        <f t="shared" si="24"/>
        <v>3381880</v>
      </c>
      <c r="AU14" s="29">
        <f t="shared" si="24"/>
        <v>0</v>
      </c>
      <c r="AV14" s="29" t="e">
        <f t="shared" si="24"/>
        <v>#REF!</v>
      </c>
      <c r="AW14" s="29">
        <f t="shared" si="24"/>
        <v>3381880</v>
      </c>
      <c r="AX14" s="29">
        <f t="shared" si="24"/>
        <v>0</v>
      </c>
      <c r="AY14" s="29" t="e">
        <f t="shared" si="24"/>
        <v>#REF!</v>
      </c>
      <c r="AZ14" s="29">
        <f t="shared" si="24"/>
        <v>3381880</v>
      </c>
      <c r="BA14" s="29">
        <f t="shared" si="24"/>
        <v>0</v>
      </c>
      <c r="BB14" s="29" t="e">
        <f t="shared" si="24"/>
        <v>#REF!</v>
      </c>
      <c r="BC14" s="29">
        <f t="shared" si="24"/>
        <v>3381880</v>
      </c>
      <c r="BD14" s="29">
        <f t="shared" si="24"/>
        <v>0</v>
      </c>
      <c r="BE14" s="29" t="e">
        <f t="shared" si="24"/>
        <v>#REF!</v>
      </c>
      <c r="BF14" s="29">
        <f t="shared" si="24"/>
        <v>3381880</v>
      </c>
      <c r="BG14" s="29">
        <f t="shared" si="24"/>
        <v>0</v>
      </c>
      <c r="BH14" s="29" t="e">
        <f t="shared" si="24"/>
        <v>#REF!</v>
      </c>
      <c r="BI14" s="29">
        <f t="shared" si="24"/>
        <v>3381880</v>
      </c>
      <c r="BJ14" s="29">
        <f t="shared" si="24"/>
        <v>0</v>
      </c>
      <c r="BK14" s="29" t="e">
        <f t="shared" si="24"/>
        <v>#REF!</v>
      </c>
      <c r="BL14" s="29">
        <f t="shared" si="24"/>
        <v>3381880</v>
      </c>
      <c r="BM14" s="29">
        <f t="shared" si="24"/>
        <v>0</v>
      </c>
      <c r="BN14" s="29" t="e">
        <f t="shared" si="24"/>
        <v>#REF!</v>
      </c>
      <c r="BO14" s="29">
        <f t="shared" si="24"/>
        <v>3381880</v>
      </c>
      <c r="BP14" s="29">
        <f t="shared" si="24"/>
        <v>0</v>
      </c>
      <c r="BQ14" s="29" t="e">
        <f t="shared" si="24"/>
        <v>#REF!</v>
      </c>
      <c r="BR14" s="30">
        <f t="shared" si="24"/>
        <v>30436920</v>
      </c>
      <c r="BS14" s="29"/>
      <c r="BT14" s="4"/>
      <c r="BU14" s="4"/>
      <c r="BV14" s="4"/>
      <c r="BW14" s="4"/>
      <c r="BX14" s="4"/>
    </row>
    <row r="15" ht="15.75" customHeight="1" spans="1:76">
      <c r="A15" s="31">
        <v>4091</v>
      </c>
      <c r="B15" s="27" t="s">
        <v>397</v>
      </c>
      <c r="C15" s="27" t="s">
        <v>379</v>
      </c>
      <c r="D15" s="33" t="s">
        <v>398</v>
      </c>
      <c r="E15" s="2"/>
      <c r="F15" s="7"/>
      <c r="G15" s="34">
        <v>1</v>
      </c>
      <c r="H15" s="24"/>
      <c r="I15" s="24"/>
      <c r="J15" s="31">
        <v>18</v>
      </c>
      <c r="K15" s="45">
        <v>1</v>
      </c>
      <c r="L15" s="35" t="s">
        <v>381</v>
      </c>
      <c r="M15" s="36">
        <v>3381880</v>
      </c>
      <c r="N15" s="36">
        <v>60873840</v>
      </c>
      <c r="O15" s="36">
        <v>3381880</v>
      </c>
      <c r="P15" s="38" t="e">
        <f>SUMIF(#REF!,$P$3&amp;B15,#REF!)</f>
        <v>#REF!</v>
      </c>
      <c r="Q15" s="39" t="e">
        <f>O15-P15</f>
        <v>#REF!</v>
      </c>
      <c r="R15" s="36">
        <v>3381880</v>
      </c>
      <c r="S15" s="38" t="e">
        <f>SUMIF(#REF!,$S$3&amp;B15,#REF!)</f>
        <v>#REF!</v>
      </c>
      <c r="T15" s="39" t="e">
        <f>Q15+R15-S15</f>
        <v>#REF!</v>
      </c>
      <c r="U15" s="36">
        <v>3381880</v>
      </c>
      <c r="V15" s="38">
        <v>0</v>
      </c>
      <c r="W15" s="39" t="e">
        <f>T15+U15-V15</f>
        <v>#REF!</v>
      </c>
      <c r="X15" s="36">
        <v>3381880</v>
      </c>
      <c r="Y15" s="38">
        <v>0</v>
      </c>
      <c r="Z15" s="39" t="e">
        <f>W15+X15-Y15</f>
        <v>#REF!</v>
      </c>
      <c r="AA15" s="36">
        <v>3381880</v>
      </c>
      <c r="AB15" s="38">
        <v>0</v>
      </c>
      <c r="AC15" s="39" t="e">
        <f>Z15+AA15-AB15</f>
        <v>#REF!</v>
      </c>
      <c r="AD15" s="36">
        <v>3381880</v>
      </c>
      <c r="AE15" s="38">
        <v>0</v>
      </c>
      <c r="AF15" s="39" t="e">
        <f>AC15+AD15-AE15</f>
        <v>#REF!</v>
      </c>
      <c r="AG15" s="48">
        <v>3381880</v>
      </c>
      <c r="AH15" s="38">
        <v>0</v>
      </c>
      <c r="AI15" s="39" t="e">
        <f>AF15+AG15-AH15</f>
        <v>#REF!</v>
      </c>
      <c r="AJ15" s="36">
        <v>3381880</v>
      </c>
      <c r="AK15" s="38">
        <v>0</v>
      </c>
      <c r="AL15" s="39" t="e">
        <f>AI15+AJ15-AK15</f>
        <v>#REF!</v>
      </c>
      <c r="AM15" s="36">
        <v>3381880</v>
      </c>
      <c r="AN15" s="38">
        <v>0</v>
      </c>
      <c r="AO15" s="39" t="e">
        <f>AL15+AM15-AN15</f>
        <v>#REF!</v>
      </c>
      <c r="AP15" s="36">
        <v>30436920</v>
      </c>
      <c r="AQ15" s="36">
        <v>3381880</v>
      </c>
      <c r="AR15" s="38">
        <v>0</v>
      </c>
      <c r="AS15" s="39" t="e">
        <f>AO15+AQ15-AR15</f>
        <v>#REF!</v>
      </c>
      <c r="AT15" s="36">
        <v>3381880</v>
      </c>
      <c r="AU15" s="38">
        <v>0</v>
      </c>
      <c r="AV15" s="39" t="e">
        <f>AS15+AT15-AU15</f>
        <v>#REF!</v>
      </c>
      <c r="AW15" s="36">
        <v>3381880</v>
      </c>
      <c r="AX15" s="38">
        <v>0</v>
      </c>
      <c r="AY15" s="39" t="e">
        <f>AV15+AW15-AX15</f>
        <v>#REF!</v>
      </c>
      <c r="AZ15" s="36">
        <v>3381880</v>
      </c>
      <c r="BA15" s="38">
        <v>0</v>
      </c>
      <c r="BB15" s="39" t="e">
        <f>AY15+AZ15-BA15</f>
        <v>#REF!</v>
      </c>
      <c r="BC15" s="36">
        <v>3381880</v>
      </c>
      <c r="BD15" s="38">
        <v>0</v>
      </c>
      <c r="BE15" s="39" t="e">
        <f>BB15+BC15-BD15</f>
        <v>#REF!</v>
      </c>
      <c r="BF15" s="36">
        <v>3381880</v>
      </c>
      <c r="BG15" s="38">
        <v>0</v>
      </c>
      <c r="BH15" s="39" t="e">
        <f>BE15+BF15-BG15</f>
        <v>#REF!</v>
      </c>
      <c r="BI15" s="36">
        <v>3381880</v>
      </c>
      <c r="BJ15" s="38">
        <v>0</v>
      </c>
      <c r="BK15" s="39" t="e">
        <f>BH15+BI15-BJ15</f>
        <v>#REF!</v>
      </c>
      <c r="BL15" s="36">
        <v>3381880</v>
      </c>
      <c r="BM15" s="38">
        <v>0</v>
      </c>
      <c r="BN15" s="39" t="e">
        <f>BK15+BL15-BM15</f>
        <v>#REF!</v>
      </c>
      <c r="BO15" s="36">
        <v>3381880</v>
      </c>
      <c r="BP15" s="38">
        <v>0</v>
      </c>
      <c r="BQ15" s="39" t="e">
        <f>BN15+BO15-BP15</f>
        <v>#REF!</v>
      </c>
      <c r="BR15" s="46">
        <v>30436920</v>
      </c>
      <c r="BS15" s="41" t="e">
        <f>P15+S15+V15+Y15+AB15+AE15+AH15+AK15+AN15+AR15+AU15++AX15+BA15+BD15+BG15+BJ15+BM15+BP15</f>
        <v>#REF!</v>
      </c>
      <c r="BT15" s="4"/>
      <c r="BU15" s="4"/>
      <c r="BV15" s="4"/>
      <c r="BW15" s="4"/>
      <c r="BX15" s="4"/>
    </row>
    <row r="16" ht="15.75" customHeight="1" spans="1:76">
      <c r="A16" s="24"/>
      <c r="B16" s="47">
        <v>1.6</v>
      </c>
      <c r="C16" s="24"/>
      <c r="D16" s="26" t="s">
        <v>399</v>
      </c>
      <c r="E16" s="2"/>
      <c r="F16" s="7"/>
      <c r="G16" s="24"/>
      <c r="H16" s="24"/>
      <c r="I16" s="24"/>
      <c r="J16" s="24"/>
      <c r="K16" s="24"/>
      <c r="L16" s="24"/>
      <c r="M16" s="28"/>
      <c r="N16" s="29">
        <f t="shared" ref="N16:U16" si="25">SUM(N17)</f>
        <v>140000000</v>
      </c>
      <c r="O16" s="29">
        <f t="shared" si="25"/>
        <v>7777778</v>
      </c>
      <c r="P16" s="29" t="e">
        <f t="shared" si="25"/>
        <v>#REF!</v>
      </c>
      <c r="Q16" s="29" t="e">
        <f t="shared" si="25"/>
        <v>#REF!</v>
      </c>
      <c r="R16" s="29">
        <f t="shared" si="25"/>
        <v>7777778</v>
      </c>
      <c r="S16" s="29" t="e">
        <f t="shared" si="25"/>
        <v>#REF!</v>
      </c>
      <c r="T16" s="29" t="e">
        <f t="shared" si="25"/>
        <v>#REF!</v>
      </c>
      <c r="U16" s="29">
        <f t="shared" si="25"/>
        <v>7777778</v>
      </c>
      <c r="V16" s="29"/>
      <c r="W16" s="29"/>
      <c r="X16" s="29">
        <f t="shared" ref="X16:BR16" si="26">SUM(X17)</f>
        <v>7777778</v>
      </c>
      <c r="Y16" s="29" t="e">
        <f t="shared" si="26"/>
        <v>#REF!</v>
      </c>
      <c r="Z16" s="29" t="e">
        <f t="shared" si="26"/>
        <v>#REF!</v>
      </c>
      <c r="AA16" s="29">
        <f t="shared" si="26"/>
        <v>7777778</v>
      </c>
      <c r="AB16" s="29" t="e">
        <f t="shared" si="26"/>
        <v>#REF!</v>
      </c>
      <c r="AC16" s="29" t="e">
        <f t="shared" si="26"/>
        <v>#REF!</v>
      </c>
      <c r="AD16" s="29">
        <f t="shared" si="26"/>
        <v>7777778</v>
      </c>
      <c r="AE16" s="29" t="e">
        <f t="shared" si="26"/>
        <v>#REF!</v>
      </c>
      <c r="AF16" s="29" t="e">
        <f t="shared" si="26"/>
        <v>#REF!</v>
      </c>
      <c r="AG16" s="29">
        <f t="shared" si="26"/>
        <v>7777778</v>
      </c>
      <c r="AH16" s="29" t="e">
        <f t="shared" si="26"/>
        <v>#REF!</v>
      </c>
      <c r="AI16" s="29" t="e">
        <f t="shared" si="26"/>
        <v>#REF!</v>
      </c>
      <c r="AJ16" s="29">
        <f t="shared" si="26"/>
        <v>7777778</v>
      </c>
      <c r="AK16" s="29">
        <f t="shared" si="26"/>
        <v>0</v>
      </c>
      <c r="AL16" s="29" t="e">
        <f t="shared" si="26"/>
        <v>#REF!</v>
      </c>
      <c r="AM16" s="29">
        <f t="shared" si="26"/>
        <v>7777778</v>
      </c>
      <c r="AN16" s="29">
        <f t="shared" si="26"/>
        <v>0</v>
      </c>
      <c r="AO16" s="29" t="e">
        <f t="shared" si="26"/>
        <v>#REF!</v>
      </c>
      <c r="AP16" s="29">
        <f t="shared" si="26"/>
        <v>70000000</v>
      </c>
      <c r="AQ16" s="29">
        <f t="shared" si="26"/>
        <v>7777778</v>
      </c>
      <c r="AR16" s="29">
        <f t="shared" si="26"/>
        <v>0</v>
      </c>
      <c r="AS16" s="29" t="e">
        <f t="shared" si="26"/>
        <v>#REF!</v>
      </c>
      <c r="AT16" s="29">
        <f t="shared" si="26"/>
        <v>7777778</v>
      </c>
      <c r="AU16" s="29">
        <f t="shared" si="26"/>
        <v>0</v>
      </c>
      <c r="AV16" s="29" t="e">
        <f t="shared" si="26"/>
        <v>#REF!</v>
      </c>
      <c r="AW16" s="29">
        <f t="shared" si="26"/>
        <v>7777778</v>
      </c>
      <c r="AX16" s="29">
        <f t="shared" si="26"/>
        <v>0</v>
      </c>
      <c r="AY16" s="29" t="e">
        <f t="shared" si="26"/>
        <v>#REF!</v>
      </c>
      <c r="AZ16" s="29">
        <f t="shared" si="26"/>
        <v>7777778</v>
      </c>
      <c r="BA16" s="29">
        <f t="shared" si="26"/>
        <v>0</v>
      </c>
      <c r="BB16" s="29" t="e">
        <f t="shared" si="26"/>
        <v>#REF!</v>
      </c>
      <c r="BC16" s="29">
        <f t="shared" si="26"/>
        <v>7777778</v>
      </c>
      <c r="BD16" s="29">
        <f t="shared" si="26"/>
        <v>0</v>
      </c>
      <c r="BE16" s="29" t="e">
        <f t="shared" si="26"/>
        <v>#REF!</v>
      </c>
      <c r="BF16" s="29">
        <f t="shared" si="26"/>
        <v>7777778</v>
      </c>
      <c r="BG16" s="29">
        <f t="shared" si="26"/>
        <v>0</v>
      </c>
      <c r="BH16" s="29" t="e">
        <f t="shared" si="26"/>
        <v>#REF!</v>
      </c>
      <c r="BI16" s="29">
        <f t="shared" si="26"/>
        <v>7777778</v>
      </c>
      <c r="BJ16" s="29" t="e">
        <f t="shared" si="26"/>
        <v>#REF!</v>
      </c>
      <c r="BK16" s="29" t="e">
        <f t="shared" si="26"/>
        <v>#REF!</v>
      </c>
      <c r="BL16" s="29">
        <f t="shared" si="26"/>
        <v>7777778</v>
      </c>
      <c r="BM16" s="29">
        <f t="shared" si="26"/>
        <v>0</v>
      </c>
      <c r="BN16" s="29" t="e">
        <f t="shared" si="26"/>
        <v>#REF!</v>
      </c>
      <c r="BO16" s="29">
        <f t="shared" si="26"/>
        <v>7777778</v>
      </c>
      <c r="BP16" s="29">
        <f t="shared" si="26"/>
        <v>0</v>
      </c>
      <c r="BQ16" s="29" t="e">
        <f t="shared" si="26"/>
        <v>#REF!</v>
      </c>
      <c r="BR16" s="30">
        <f t="shared" si="26"/>
        <v>70000000</v>
      </c>
      <c r="BS16" s="29"/>
      <c r="BT16" s="4"/>
      <c r="BU16" s="4"/>
      <c r="BV16" s="4"/>
      <c r="BW16" s="4"/>
      <c r="BX16" s="4"/>
    </row>
    <row r="17" ht="15.75" customHeight="1" spans="1:76">
      <c r="A17" s="31">
        <v>4102</v>
      </c>
      <c r="B17" s="27" t="s">
        <v>400</v>
      </c>
      <c r="C17" s="27" t="s">
        <v>379</v>
      </c>
      <c r="D17" s="33" t="s">
        <v>401</v>
      </c>
      <c r="E17" s="2"/>
      <c r="F17" s="7"/>
      <c r="G17" s="34">
        <v>1</v>
      </c>
      <c r="H17" s="24"/>
      <c r="I17" s="24"/>
      <c r="J17" s="31">
        <v>2</v>
      </c>
      <c r="K17" s="45">
        <v>25</v>
      </c>
      <c r="L17" s="35" t="s">
        <v>381</v>
      </c>
      <c r="M17" s="36">
        <v>2800000</v>
      </c>
      <c r="N17" s="36">
        <v>140000000</v>
      </c>
      <c r="O17" s="36">
        <v>7777778</v>
      </c>
      <c r="P17" s="38" t="e">
        <f>SUMIF(#REF!,$P$3&amp;B17,#REF!)</f>
        <v>#REF!</v>
      </c>
      <c r="Q17" s="39" t="e">
        <f>O17-P17</f>
        <v>#REF!</v>
      </c>
      <c r="R17" s="36">
        <v>7777778</v>
      </c>
      <c r="S17" s="38" t="e">
        <f>SUMIF(#REF!,$S$3&amp;B17,#REF!)</f>
        <v>#REF!</v>
      </c>
      <c r="T17" s="39" t="e">
        <f>Q17+R17-S17</f>
        <v>#REF!</v>
      </c>
      <c r="U17" s="36">
        <v>7777778</v>
      </c>
      <c r="V17" s="38">
        <v>0</v>
      </c>
      <c r="W17" s="39" t="e">
        <f>T17+U17-V17</f>
        <v>#REF!</v>
      </c>
      <c r="X17" s="36">
        <v>7777778</v>
      </c>
      <c r="Y17" s="38" t="e">
        <f>#REF!+#REF!+#REF!</f>
        <v>#REF!</v>
      </c>
      <c r="Z17" s="49" t="e">
        <f>W17+X17-Y17</f>
        <v>#REF!</v>
      </c>
      <c r="AA17" s="36">
        <v>7777778</v>
      </c>
      <c r="AB17" s="38" t="e">
        <f>#REF!</f>
        <v>#REF!</v>
      </c>
      <c r="AC17" s="49" t="e">
        <f>Z17+AA17-AB17</f>
        <v>#REF!</v>
      </c>
      <c r="AD17" s="36">
        <v>7777778</v>
      </c>
      <c r="AE17" s="38" t="e">
        <f>#REF!+#REF!</f>
        <v>#REF!</v>
      </c>
      <c r="AF17" s="49" t="e">
        <f>AC17+AD17-AE17</f>
        <v>#REF!</v>
      </c>
      <c r="AG17" s="48">
        <v>7777778</v>
      </c>
      <c r="AH17" s="50" t="e">
        <f>#REF!+#REF!+#REF!+#REF!+#REF!+#REF!+#REF!</f>
        <v>#REF!</v>
      </c>
      <c r="AI17" s="49" t="e">
        <f>AF17+AG17-AH17</f>
        <v>#REF!</v>
      </c>
      <c r="AJ17" s="36">
        <v>7777778</v>
      </c>
      <c r="AK17" s="38">
        <v>0</v>
      </c>
      <c r="AL17" s="49" t="e">
        <f>AI17+AJ17-AK17</f>
        <v>#REF!</v>
      </c>
      <c r="AM17" s="36">
        <v>7777778</v>
      </c>
      <c r="AN17" s="38">
        <v>0</v>
      </c>
      <c r="AO17" s="49" t="e">
        <f>AL17+AM17-AN17</f>
        <v>#REF!</v>
      </c>
      <c r="AP17" s="36">
        <v>70000000</v>
      </c>
      <c r="AQ17" s="36">
        <v>7777778</v>
      </c>
      <c r="AR17" s="38">
        <v>0</v>
      </c>
      <c r="AS17" s="49" t="e">
        <f>AO17+AQ17-AR17</f>
        <v>#REF!</v>
      </c>
      <c r="AT17" s="36">
        <v>7777778</v>
      </c>
      <c r="AU17" s="38">
        <v>0</v>
      </c>
      <c r="AV17" s="39" t="e">
        <f>AS17+AT17-AU17</f>
        <v>#REF!</v>
      </c>
      <c r="AW17" s="36">
        <v>7777778</v>
      </c>
      <c r="AX17" s="38">
        <v>0</v>
      </c>
      <c r="AY17" s="39" t="e">
        <f>AV17+AW17-AX17</f>
        <v>#REF!</v>
      </c>
      <c r="AZ17" s="36">
        <v>7777778</v>
      </c>
      <c r="BA17" s="38">
        <v>0</v>
      </c>
      <c r="BB17" s="39" t="e">
        <f>AY17+AZ17-BA17</f>
        <v>#REF!</v>
      </c>
      <c r="BC17" s="36">
        <v>7777778</v>
      </c>
      <c r="BD17" s="38">
        <v>0</v>
      </c>
      <c r="BE17" s="39" t="e">
        <f>BB17+BC17-BD17</f>
        <v>#REF!</v>
      </c>
      <c r="BF17" s="36">
        <v>7777778</v>
      </c>
      <c r="BG17" s="38">
        <v>0</v>
      </c>
      <c r="BH17" s="39" t="e">
        <f>BE17+BF17-BG17</f>
        <v>#REF!</v>
      </c>
      <c r="BI17" s="36">
        <v>7777778</v>
      </c>
      <c r="BJ17" s="38" t="e">
        <f>#REF!</f>
        <v>#REF!</v>
      </c>
      <c r="BK17" s="39" t="e">
        <f>BH17+BI17-BJ17</f>
        <v>#REF!</v>
      </c>
      <c r="BL17" s="36">
        <v>7777778</v>
      </c>
      <c r="BM17" s="38">
        <v>0</v>
      </c>
      <c r="BN17" s="39" t="e">
        <f>BK17+BL17-BM17</f>
        <v>#REF!</v>
      </c>
      <c r="BO17" s="36">
        <v>7777778</v>
      </c>
      <c r="BP17" s="38">
        <v>0</v>
      </c>
      <c r="BQ17" s="39" t="e">
        <f>BN17+BO17-BP17</f>
        <v>#REF!</v>
      </c>
      <c r="BR17" s="46">
        <v>70000000</v>
      </c>
      <c r="BS17" s="41" t="e">
        <f>P17+S17+V17+Y17+AB17+AE17+AH17+AK17+AN17+AR17+AU17++AX17+BA17+BD17+BG17+BJ17+BM17+BP17</f>
        <v>#REF!</v>
      </c>
      <c r="BT17" s="4"/>
      <c r="BU17" s="4"/>
      <c r="BV17" s="4"/>
      <c r="BW17" s="4"/>
      <c r="BX17" s="4"/>
    </row>
    <row r="18" ht="15.75" customHeight="1" spans="1:76">
      <c r="A18" s="24"/>
      <c r="B18" s="47">
        <v>1.7</v>
      </c>
      <c r="C18" s="24"/>
      <c r="D18" s="26" t="s">
        <v>402</v>
      </c>
      <c r="E18" s="2"/>
      <c r="F18" s="7"/>
      <c r="G18" s="24"/>
      <c r="H18" s="24"/>
      <c r="I18" s="24"/>
      <c r="J18" s="24"/>
      <c r="K18" s="24"/>
      <c r="L18" s="24"/>
      <c r="M18" s="28"/>
      <c r="N18" s="29">
        <f t="shared" ref="N18:BR18" si="27">SUM(N19:N20)</f>
        <v>2176110136</v>
      </c>
      <c r="O18" s="29">
        <f t="shared" si="27"/>
        <v>120895008</v>
      </c>
      <c r="P18" s="29" t="e">
        <f t="shared" si="27"/>
        <v>#REF!</v>
      </c>
      <c r="Q18" s="29" t="e">
        <f t="shared" si="27"/>
        <v>#REF!</v>
      </c>
      <c r="R18" s="29">
        <f t="shared" si="27"/>
        <v>120895008</v>
      </c>
      <c r="S18" s="29" t="e">
        <f t="shared" si="27"/>
        <v>#REF!</v>
      </c>
      <c r="T18" s="29" t="e">
        <f t="shared" si="27"/>
        <v>#REF!</v>
      </c>
      <c r="U18" s="29">
        <f t="shared" si="27"/>
        <v>120895008</v>
      </c>
      <c r="V18" s="29" t="e">
        <f t="shared" si="27"/>
        <v>#REF!</v>
      </c>
      <c r="W18" s="29" t="e">
        <f t="shared" si="27"/>
        <v>#REF!</v>
      </c>
      <c r="X18" s="29">
        <f t="shared" si="27"/>
        <v>120895008</v>
      </c>
      <c r="Y18" s="29" t="e">
        <f t="shared" si="27"/>
        <v>#REF!</v>
      </c>
      <c r="Z18" s="29" t="e">
        <f t="shared" si="27"/>
        <v>#REF!</v>
      </c>
      <c r="AA18" s="29">
        <f t="shared" si="27"/>
        <v>120895008</v>
      </c>
      <c r="AB18" s="29" t="e">
        <f t="shared" si="27"/>
        <v>#REF!</v>
      </c>
      <c r="AC18" s="29" t="e">
        <f t="shared" si="27"/>
        <v>#REF!</v>
      </c>
      <c r="AD18" s="29">
        <f t="shared" si="27"/>
        <v>120895008</v>
      </c>
      <c r="AE18" s="29" t="e">
        <f t="shared" si="27"/>
        <v>#REF!</v>
      </c>
      <c r="AF18" s="29" t="e">
        <f t="shared" si="27"/>
        <v>#REF!</v>
      </c>
      <c r="AG18" s="29">
        <f t="shared" si="27"/>
        <v>120895008</v>
      </c>
      <c r="AH18" s="29" t="e">
        <f t="shared" si="27"/>
        <v>#REF!</v>
      </c>
      <c r="AI18" s="29" t="e">
        <f t="shared" si="27"/>
        <v>#REF!</v>
      </c>
      <c r="AJ18" s="29">
        <f t="shared" si="27"/>
        <v>120895008</v>
      </c>
      <c r="AK18" s="29" t="e">
        <f t="shared" si="27"/>
        <v>#REF!</v>
      </c>
      <c r="AL18" s="29" t="e">
        <f t="shared" si="27"/>
        <v>#REF!</v>
      </c>
      <c r="AM18" s="29">
        <f t="shared" si="27"/>
        <v>120895008</v>
      </c>
      <c r="AN18" s="29" t="e">
        <f t="shared" si="27"/>
        <v>#REF!</v>
      </c>
      <c r="AO18" s="29" t="e">
        <f t="shared" si="27"/>
        <v>#REF!</v>
      </c>
      <c r="AP18" s="29">
        <f t="shared" si="27"/>
        <v>1088055068</v>
      </c>
      <c r="AQ18" s="29">
        <f t="shared" si="27"/>
        <v>120895008</v>
      </c>
      <c r="AR18" s="29" t="e">
        <f t="shared" si="27"/>
        <v>#REF!</v>
      </c>
      <c r="AS18" s="29" t="e">
        <f t="shared" si="27"/>
        <v>#REF!</v>
      </c>
      <c r="AT18" s="29">
        <f t="shared" si="27"/>
        <v>120895008</v>
      </c>
      <c r="AU18" s="29" t="e">
        <f t="shared" si="27"/>
        <v>#REF!</v>
      </c>
      <c r="AV18" s="29" t="e">
        <f t="shared" si="27"/>
        <v>#REF!</v>
      </c>
      <c r="AW18" s="29">
        <f t="shared" si="27"/>
        <v>120895008</v>
      </c>
      <c r="AX18" s="29" t="e">
        <f t="shared" si="27"/>
        <v>#REF!</v>
      </c>
      <c r="AY18" s="29" t="e">
        <f t="shared" si="27"/>
        <v>#REF!</v>
      </c>
      <c r="AZ18" s="29">
        <f t="shared" si="27"/>
        <v>120895008</v>
      </c>
      <c r="BA18" s="29" t="e">
        <f t="shared" si="27"/>
        <v>#REF!</v>
      </c>
      <c r="BB18" s="29" t="e">
        <f t="shared" si="27"/>
        <v>#REF!</v>
      </c>
      <c r="BC18" s="29">
        <f t="shared" si="27"/>
        <v>120895008</v>
      </c>
      <c r="BD18" s="29" t="e">
        <f t="shared" si="27"/>
        <v>#REF!</v>
      </c>
      <c r="BE18" s="29" t="e">
        <f t="shared" si="27"/>
        <v>#REF!</v>
      </c>
      <c r="BF18" s="29">
        <f t="shared" si="27"/>
        <v>120895008</v>
      </c>
      <c r="BG18" s="29" t="e">
        <f t="shared" si="27"/>
        <v>#REF!</v>
      </c>
      <c r="BH18" s="29" t="e">
        <f t="shared" si="27"/>
        <v>#REF!</v>
      </c>
      <c r="BI18" s="29">
        <f t="shared" si="27"/>
        <v>120895008</v>
      </c>
      <c r="BJ18" s="29" t="e">
        <f t="shared" si="27"/>
        <v>#REF!</v>
      </c>
      <c r="BK18" s="29" t="e">
        <f t="shared" si="27"/>
        <v>#REF!</v>
      </c>
      <c r="BL18" s="29">
        <f t="shared" si="27"/>
        <v>120895008</v>
      </c>
      <c r="BM18" s="29" t="e">
        <f t="shared" si="27"/>
        <v>#REF!</v>
      </c>
      <c r="BN18" s="29" t="e">
        <f t="shared" si="27"/>
        <v>#REF!</v>
      </c>
      <c r="BO18" s="29">
        <f t="shared" si="27"/>
        <v>120895008</v>
      </c>
      <c r="BP18" s="29">
        <f t="shared" si="27"/>
        <v>0</v>
      </c>
      <c r="BQ18" s="29" t="e">
        <f t="shared" si="27"/>
        <v>#REF!</v>
      </c>
      <c r="BR18" s="30">
        <f t="shared" si="27"/>
        <v>1088055068</v>
      </c>
      <c r="BS18" s="29"/>
      <c r="BT18" s="4"/>
      <c r="BU18" s="4"/>
      <c r="BV18" s="4"/>
      <c r="BW18" s="4"/>
      <c r="BX18" s="4"/>
    </row>
    <row r="19" ht="15.75" customHeight="1" spans="1:76">
      <c r="A19" s="31">
        <v>4151</v>
      </c>
      <c r="B19" s="27" t="s">
        <v>403</v>
      </c>
      <c r="C19" s="27" t="s">
        <v>379</v>
      </c>
      <c r="D19" s="33" t="s">
        <v>404</v>
      </c>
      <c r="E19" s="2"/>
      <c r="F19" s="7"/>
      <c r="G19" s="34">
        <v>1</v>
      </c>
      <c r="H19" s="24"/>
      <c r="I19" s="24"/>
      <c r="J19" s="31">
        <v>1</v>
      </c>
      <c r="K19" s="45">
        <v>1</v>
      </c>
      <c r="L19" s="35" t="s">
        <v>405</v>
      </c>
      <c r="M19" s="36">
        <v>69700000</v>
      </c>
      <c r="N19" s="36">
        <v>1805400000</v>
      </c>
      <c r="O19" s="36">
        <v>100300000</v>
      </c>
      <c r="P19" s="38" t="e">
        <f>SUMIF(#REF!,$P$3&amp;B19,#REF!)</f>
        <v>#REF!</v>
      </c>
      <c r="Q19" s="39" t="e">
        <f t="shared" ref="Q19:Q20" si="28">O19-P19</f>
        <v>#REF!</v>
      </c>
      <c r="R19" s="36">
        <v>100300000</v>
      </c>
      <c r="S19" s="38" t="e">
        <f>SUMIF(#REF!,$S$3&amp;B19,#REF!)</f>
        <v>#REF!</v>
      </c>
      <c r="T19" s="39" t="e">
        <f t="shared" ref="T19:T20" si="29">Q19+R19-S19</f>
        <v>#REF!</v>
      </c>
      <c r="U19" s="36">
        <v>100300000</v>
      </c>
      <c r="V19" s="38" t="e">
        <f>#REF!</f>
        <v>#REF!</v>
      </c>
      <c r="W19" s="39" t="e">
        <f t="shared" ref="W19:W20" si="30">T19+U19-V19</f>
        <v>#REF!</v>
      </c>
      <c r="X19" s="48">
        <v>100300000</v>
      </c>
      <c r="Y19" s="38" t="e">
        <f>#REF!</f>
        <v>#REF!</v>
      </c>
      <c r="Z19" s="39" t="e">
        <f t="shared" ref="Z19:Z20" si="31">W19+X19-Y19</f>
        <v>#REF!</v>
      </c>
      <c r="AA19" s="36">
        <v>100300000</v>
      </c>
      <c r="AB19" s="38" t="e">
        <f>#REF!</f>
        <v>#REF!</v>
      </c>
      <c r="AC19" s="39" t="e">
        <f t="shared" ref="AC19:AC20" si="32">Z19+AA19-AB19</f>
        <v>#REF!</v>
      </c>
      <c r="AD19" s="36">
        <v>100300000</v>
      </c>
      <c r="AE19" s="38" t="e">
        <f>#REF!</f>
        <v>#REF!</v>
      </c>
      <c r="AF19" s="39" t="e">
        <f t="shared" ref="AF19:AF20" si="33">AC19+AD19-AE19</f>
        <v>#REF!</v>
      </c>
      <c r="AG19" s="36">
        <v>100300000</v>
      </c>
      <c r="AH19" s="50" t="e">
        <f>#REF!</f>
        <v>#REF!</v>
      </c>
      <c r="AI19" s="39" t="e">
        <f t="shared" ref="AI19:AI20" si="34">AF19+AG19-AH19</f>
        <v>#REF!</v>
      </c>
      <c r="AJ19" s="36">
        <v>100300000</v>
      </c>
      <c r="AK19" s="51" t="e">
        <f>#REF!</f>
        <v>#REF!</v>
      </c>
      <c r="AL19" s="39" t="e">
        <f t="shared" ref="AL19:AL20" si="35">AI19+AJ19-AK19</f>
        <v>#REF!</v>
      </c>
      <c r="AM19" s="36">
        <v>100300000</v>
      </c>
      <c r="AN19" s="38" t="e">
        <f>#REF!</f>
        <v>#REF!</v>
      </c>
      <c r="AO19" s="39" t="e">
        <f t="shared" ref="AO19:AO20" si="36">AL19+AM19-AN19</f>
        <v>#REF!</v>
      </c>
      <c r="AP19" s="36">
        <v>902700000</v>
      </c>
      <c r="AQ19" s="36">
        <v>100300000</v>
      </c>
      <c r="AR19" s="38" t="e">
        <f>#REF!</f>
        <v>#REF!</v>
      </c>
      <c r="AS19" s="39" t="e">
        <f t="shared" ref="AS19:AS20" si="37">AO19+AQ19-AR19</f>
        <v>#REF!</v>
      </c>
      <c r="AT19" s="36">
        <v>100300000</v>
      </c>
      <c r="AU19" s="38" t="e">
        <f>#REF!</f>
        <v>#REF!</v>
      </c>
      <c r="AV19" s="39" t="e">
        <f t="shared" ref="AV19:AV20" si="38">AS19+AT19-AU19</f>
        <v>#REF!</v>
      </c>
      <c r="AW19" s="36">
        <v>100300000</v>
      </c>
      <c r="AX19" s="38" t="e">
        <f>#REF!</f>
        <v>#REF!</v>
      </c>
      <c r="AY19" s="39" t="e">
        <f t="shared" ref="AY19:AY20" si="39">AV19+AW19-AX19</f>
        <v>#REF!</v>
      </c>
      <c r="AZ19" s="48">
        <v>100300000</v>
      </c>
      <c r="BA19" s="38" t="e">
        <f>#REF!</f>
        <v>#REF!</v>
      </c>
      <c r="BB19" s="39" t="e">
        <f t="shared" ref="BB19:BB20" si="40">AY19+AZ19-BA19</f>
        <v>#REF!</v>
      </c>
      <c r="BC19" s="36">
        <v>100300000</v>
      </c>
      <c r="BD19" s="38" t="e">
        <f>#REF!</f>
        <v>#REF!</v>
      </c>
      <c r="BE19" s="39" t="e">
        <f t="shared" ref="BE19:BE20" si="41">BB19+BC19-BD19</f>
        <v>#REF!</v>
      </c>
      <c r="BF19" s="36">
        <v>100300000</v>
      </c>
      <c r="BG19" s="38" t="e">
        <f>#REF!</f>
        <v>#REF!</v>
      </c>
      <c r="BH19" s="39" t="e">
        <f t="shared" ref="BH19:BH20" si="42">BE19+BF19-BG19</f>
        <v>#REF!</v>
      </c>
      <c r="BI19" s="36">
        <v>100300000</v>
      </c>
      <c r="BJ19" s="38" t="e">
        <f>#REF!</f>
        <v>#REF!</v>
      </c>
      <c r="BK19" s="39" t="e">
        <f t="shared" ref="BK19:BK20" si="43">BH19+BI19-BJ19</f>
        <v>#REF!</v>
      </c>
      <c r="BL19" s="36">
        <v>100300000</v>
      </c>
      <c r="BM19" s="38" t="e">
        <f>#REF!</f>
        <v>#REF!</v>
      </c>
      <c r="BN19" s="39" t="e">
        <f t="shared" ref="BN19:BN20" si="44">BK19+BL19-BM19</f>
        <v>#REF!</v>
      </c>
      <c r="BO19" s="36">
        <v>100300000</v>
      </c>
      <c r="BP19" s="38">
        <v>0</v>
      </c>
      <c r="BQ19" s="39" t="e">
        <f t="shared" ref="BQ19:BQ20" si="45">BN19+BO19-BP19</f>
        <v>#REF!</v>
      </c>
      <c r="BR19" s="46">
        <v>902700000</v>
      </c>
      <c r="BS19" s="41" t="e">
        <f t="shared" ref="BS19:BS20" si="46">P19+S19+V19+Y19+AB19+AE19+AH19+AK19+AN19+AR19+AU19++AX19+BA19+BD19+BG19+BJ19+BM19+BP19</f>
        <v>#REF!</v>
      </c>
      <c r="BT19" s="52"/>
      <c r="BU19" s="52"/>
      <c r="BV19" s="52"/>
      <c r="BW19" s="52"/>
      <c r="BX19" s="4"/>
    </row>
    <row r="20" ht="15.75" customHeight="1" spans="1:76">
      <c r="A20" s="31">
        <v>4153</v>
      </c>
      <c r="B20" s="27" t="s">
        <v>406</v>
      </c>
      <c r="C20" s="27" t="s">
        <v>379</v>
      </c>
      <c r="D20" s="33" t="s">
        <v>407</v>
      </c>
      <c r="E20" s="2"/>
      <c r="F20" s="7"/>
      <c r="G20" s="34">
        <v>1</v>
      </c>
      <c r="H20" s="24"/>
      <c r="I20" s="24"/>
      <c r="J20" s="31">
        <v>1</v>
      </c>
      <c r="K20" s="45">
        <v>1</v>
      </c>
      <c r="L20" s="35" t="s">
        <v>405</v>
      </c>
      <c r="M20" s="36">
        <v>54037808</v>
      </c>
      <c r="N20" s="36">
        <v>370710136</v>
      </c>
      <c r="O20" s="36">
        <v>20595008</v>
      </c>
      <c r="P20" s="38" t="e">
        <f>SUMIF(#REF!,$P$3&amp;B20,#REF!)</f>
        <v>#REF!</v>
      </c>
      <c r="Q20" s="53" t="e">
        <f t="shared" si="28"/>
        <v>#REF!</v>
      </c>
      <c r="R20" s="36">
        <v>20595008</v>
      </c>
      <c r="S20" s="38" t="e">
        <f>SUMIF(#REF!,$S$3&amp;B20,#REF!)</f>
        <v>#REF!</v>
      </c>
      <c r="T20" s="53" t="e">
        <f t="shared" si="29"/>
        <v>#REF!</v>
      </c>
      <c r="U20" s="36">
        <v>20595008</v>
      </c>
      <c r="V20" s="38">
        <v>0</v>
      </c>
      <c r="W20" s="39" t="e">
        <f t="shared" si="30"/>
        <v>#REF!</v>
      </c>
      <c r="X20" s="36">
        <v>20595008</v>
      </c>
      <c r="Y20" s="38">
        <v>0</v>
      </c>
      <c r="Z20" s="39" t="e">
        <f t="shared" si="31"/>
        <v>#REF!</v>
      </c>
      <c r="AA20" s="36">
        <v>20595008</v>
      </c>
      <c r="AB20" s="38" t="e">
        <f>#REF!</f>
        <v>#REF!</v>
      </c>
      <c r="AC20" s="39" t="e">
        <f t="shared" si="32"/>
        <v>#REF!</v>
      </c>
      <c r="AD20" s="36">
        <v>20595008</v>
      </c>
      <c r="AE20" s="38" t="e">
        <f>#REF!</f>
        <v>#REF!</v>
      </c>
      <c r="AF20" s="39" t="e">
        <f t="shared" si="33"/>
        <v>#REF!</v>
      </c>
      <c r="AG20" s="48">
        <v>20595008</v>
      </c>
      <c r="AH20" s="50" t="e">
        <f>#REF!</f>
        <v>#REF!</v>
      </c>
      <c r="AI20" s="39" t="e">
        <f t="shared" si="34"/>
        <v>#REF!</v>
      </c>
      <c r="AJ20" s="36">
        <v>20595008</v>
      </c>
      <c r="AK20" s="51" t="e">
        <f>#REF!</f>
        <v>#REF!</v>
      </c>
      <c r="AL20" s="39" t="e">
        <f t="shared" si="35"/>
        <v>#REF!</v>
      </c>
      <c r="AM20" s="36">
        <v>20595008</v>
      </c>
      <c r="AN20" s="38" t="e">
        <f>#REF!</f>
        <v>#REF!</v>
      </c>
      <c r="AO20" s="39" t="e">
        <f t="shared" si="36"/>
        <v>#REF!</v>
      </c>
      <c r="AP20" s="36">
        <v>185355068</v>
      </c>
      <c r="AQ20" s="36">
        <v>20595008</v>
      </c>
      <c r="AR20" s="38" t="e">
        <f>#REF!</f>
        <v>#REF!</v>
      </c>
      <c r="AS20" s="39" t="e">
        <f t="shared" si="37"/>
        <v>#REF!</v>
      </c>
      <c r="AT20" s="36">
        <v>20595008</v>
      </c>
      <c r="AU20" s="38" t="e">
        <f>#REF!</f>
        <v>#REF!</v>
      </c>
      <c r="AV20" s="39" t="e">
        <f t="shared" si="38"/>
        <v>#REF!</v>
      </c>
      <c r="AW20" s="36">
        <v>20595008</v>
      </c>
      <c r="AX20" s="38" t="e">
        <f>#REF!</f>
        <v>#REF!</v>
      </c>
      <c r="AY20" s="39" t="e">
        <f t="shared" si="39"/>
        <v>#REF!</v>
      </c>
      <c r="AZ20" s="36">
        <v>20595008</v>
      </c>
      <c r="BA20" s="38" t="e">
        <f>#REF!</f>
        <v>#REF!</v>
      </c>
      <c r="BB20" s="39" t="e">
        <f t="shared" si="40"/>
        <v>#REF!</v>
      </c>
      <c r="BC20" s="36">
        <v>20595008</v>
      </c>
      <c r="BD20" s="38" t="e">
        <f>#REF!</f>
        <v>#REF!</v>
      </c>
      <c r="BE20" s="39" t="e">
        <f t="shared" si="41"/>
        <v>#REF!</v>
      </c>
      <c r="BF20" s="36">
        <v>20595008</v>
      </c>
      <c r="BG20" s="38" t="e">
        <f>#REF!</f>
        <v>#REF!</v>
      </c>
      <c r="BH20" s="39" t="e">
        <f t="shared" si="42"/>
        <v>#REF!</v>
      </c>
      <c r="BI20" s="36">
        <v>20595008</v>
      </c>
      <c r="BJ20" s="38" t="e">
        <f>#REF!</f>
        <v>#REF!</v>
      </c>
      <c r="BK20" s="39" t="e">
        <f t="shared" si="43"/>
        <v>#REF!</v>
      </c>
      <c r="BL20" s="36">
        <v>20595008</v>
      </c>
      <c r="BM20" s="38" t="e">
        <f>#REF!</f>
        <v>#REF!</v>
      </c>
      <c r="BN20" s="39" t="e">
        <f t="shared" si="44"/>
        <v>#REF!</v>
      </c>
      <c r="BO20" s="36">
        <v>20595008</v>
      </c>
      <c r="BP20" s="38">
        <v>0</v>
      </c>
      <c r="BQ20" s="39" t="e">
        <f t="shared" si="45"/>
        <v>#REF!</v>
      </c>
      <c r="BR20" s="46">
        <v>185355068</v>
      </c>
      <c r="BS20" s="41" t="e">
        <f t="shared" si="46"/>
        <v>#REF!</v>
      </c>
      <c r="BT20" s="4"/>
      <c r="BU20" s="4"/>
      <c r="BV20" s="4"/>
      <c r="BW20" s="4"/>
      <c r="BX20" s="4"/>
    </row>
    <row r="21" ht="15.75" customHeight="1" spans="1:76">
      <c r="A21" s="24"/>
      <c r="B21" s="24"/>
      <c r="C21" s="24"/>
      <c r="D21" s="54"/>
      <c r="E21" s="2"/>
      <c r="F21" s="2"/>
      <c r="G21" s="7"/>
      <c r="H21" s="24"/>
      <c r="I21" s="24"/>
      <c r="J21" s="24"/>
      <c r="K21" s="24"/>
      <c r="L21" s="24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55"/>
      <c r="BS21" s="28"/>
      <c r="BT21" s="4"/>
      <c r="BU21" s="4"/>
      <c r="BV21" s="4"/>
      <c r="BW21" s="4"/>
      <c r="BX21" s="4"/>
    </row>
    <row r="22" ht="15.75" customHeight="1" spans="1:76">
      <c r="A22" s="24"/>
      <c r="B22" s="56" t="s">
        <v>408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7"/>
      <c r="N22" s="57">
        <f t="shared" ref="N22:BR22" si="47">SUM(N5+N7+N14+N16+N18)</f>
        <v>2426929576</v>
      </c>
      <c r="O22" s="57">
        <f t="shared" si="47"/>
        <v>134829422</v>
      </c>
      <c r="P22" s="58" t="e">
        <f t="shared" si="47"/>
        <v>#REF!</v>
      </c>
      <c r="Q22" s="58" t="e">
        <f t="shared" si="47"/>
        <v>#REF!</v>
      </c>
      <c r="R22" s="57">
        <f t="shared" si="47"/>
        <v>134829422</v>
      </c>
      <c r="S22" s="58" t="e">
        <f t="shared" si="47"/>
        <v>#REF!</v>
      </c>
      <c r="T22" s="58" t="e">
        <f t="shared" si="47"/>
        <v>#REF!</v>
      </c>
      <c r="U22" s="57">
        <f t="shared" si="47"/>
        <v>134829422</v>
      </c>
      <c r="V22" s="58" t="e">
        <f t="shared" si="47"/>
        <v>#REF!</v>
      </c>
      <c r="W22" s="58" t="e">
        <f t="shared" si="47"/>
        <v>#REF!</v>
      </c>
      <c r="X22" s="57">
        <f t="shared" si="47"/>
        <v>134829422</v>
      </c>
      <c r="Y22" s="58" t="e">
        <f t="shared" si="47"/>
        <v>#REF!</v>
      </c>
      <c r="Z22" s="58" t="e">
        <f t="shared" si="47"/>
        <v>#REF!</v>
      </c>
      <c r="AA22" s="57">
        <f t="shared" si="47"/>
        <v>134829422</v>
      </c>
      <c r="AB22" s="58" t="e">
        <f t="shared" si="47"/>
        <v>#REF!</v>
      </c>
      <c r="AC22" s="58" t="e">
        <f t="shared" si="47"/>
        <v>#REF!</v>
      </c>
      <c r="AD22" s="57">
        <f t="shared" si="47"/>
        <v>134829422</v>
      </c>
      <c r="AE22" s="58" t="e">
        <f t="shared" si="47"/>
        <v>#REF!</v>
      </c>
      <c r="AF22" s="58" t="e">
        <f t="shared" si="47"/>
        <v>#REF!</v>
      </c>
      <c r="AG22" s="57">
        <f t="shared" si="47"/>
        <v>134829422</v>
      </c>
      <c r="AH22" s="58" t="e">
        <f t="shared" si="47"/>
        <v>#REF!</v>
      </c>
      <c r="AI22" s="58" t="e">
        <f t="shared" si="47"/>
        <v>#REF!</v>
      </c>
      <c r="AJ22" s="57">
        <f t="shared" si="47"/>
        <v>134829422</v>
      </c>
      <c r="AK22" s="58" t="e">
        <f t="shared" si="47"/>
        <v>#REF!</v>
      </c>
      <c r="AL22" s="58" t="e">
        <f t="shared" si="47"/>
        <v>#REF!</v>
      </c>
      <c r="AM22" s="57">
        <f t="shared" si="47"/>
        <v>134829422</v>
      </c>
      <c r="AN22" s="58" t="e">
        <f t="shared" si="47"/>
        <v>#REF!</v>
      </c>
      <c r="AO22" s="58" t="e">
        <f t="shared" si="47"/>
        <v>#REF!</v>
      </c>
      <c r="AP22" s="57">
        <f t="shared" si="47"/>
        <v>1213464788</v>
      </c>
      <c r="AQ22" s="57">
        <f t="shared" si="47"/>
        <v>134829422</v>
      </c>
      <c r="AR22" s="58" t="e">
        <f t="shared" si="47"/>
        <v>#REF!</v>
      </c>
      <c r="AS22" s="58" t="e">
        <f t="shared" si="47"/>
        <v>#REF!</v>
      </c>
      <c r="AT22" s="57">
        <f t="shared" si="47"/>
        <v>134829422</v>
      </c>
      <c r="AU22" s="58" t="e">
        <f t="shared" si="47"/>
        <v>#REF!</v>
      </c>
      <c r="AV22" s="58" t="e">
        <f t="shared" si="47"/>
        <v>#REF!</v>
      </c>
      <c r="AW22" s="57">
        <f t="shared" si="47"/>
        <v>134829422</v>
      </c>
      <c r="AX22" s="58" t="e">
        <f t="shared" si="47"/>
        <v>#REF!</v>
      </c>
      <c r="AY22" s="58" t="e">
        <f t="shared" si="47"/>
        <v>#REF!</v>
      </c>
      <c r="AZ22" s="57">
        <f t="shared" si="47"/>
        <v>134829422</v>
      </c>
      <c r="BA22" s="58" t="e">
        <f t="shared" si="47"/>
        <v>#REF!</v>
      </c>
      <c r="BB22" s="58" t="e">
        <f t="shared" si="47"/>
        <v>#REF!</v>
      </c>
      <c r="BC22" s="57">
        <f t="shared" si="47"/>
        <v>134829422</v>
      </c>
      <c r="BD22" s="58" t="e">
        <f t="shared" si="47"/>
        <v>#REF!</v>
      </c>
      <c r="BE22" s="58" t="e">
        <f t="shared" si="47"/>
        <v>#REF!</v>
      </c>
      <c r="BF22" s="57">
        <f t="shared" si="47"/>
        <v>134829422</v>
      </c>
      <c r="BG22" s="58" t="e">
        <f t="shared" si="47"/>
        <v>#REF!</v>
      </c>
      <c r="BH22" s="58" t="e">
        <f t="shared" si="47"/>
        <v>#REF!</v>
      </c>
      <c r="BI22" s="57">
        <f t="shared" si="47"/>
        <v>134829422</v>
      </c>
      <c r="BJ22" s="58" t="e">
        <f t="shared" si="47"/>
        <v>#REF!</v>
      </c>
      <c r="BK22" s="58" t="e">
        <f t="shared" si="47"/>
        <v>#REF!</v>
      </c>
      <c r="BL22" s="57">
        <f t="shared" si="47"/>
        <v>134829422</v>
      </c>
      <c r="BM22" s="58" t="e">
        <f t="shared" si="47"/>
        <v>#REF!</v>
      </c>
      <c r="BN22" s="58" t="e">
        <f t="shared" si="47"/>
        <v>#REF!</v>
      </c>
      <c r="BO22" s="57">
        <f t="shared" si="47"/>
        <v>134829422</v>
      </c>
      <c r="BP22" s="58">
        <f t="shared" si="47"/>
        <v>0</v>
      </c>
      <c r="BQ22" s="58" t="e">
        <f t="shared" si="47"/>
        <v>#REF!</v>
      </c>
      <c r="BR22" s="59">
        <f t="shared" si="47"/>
        <v>1213464788</v>
      </c>
      <c r="BS22" s="58" t="e">
        <f>P22+S22+V22+Y22+AB22+AE22+AH22+AK22+AN22+AR22+AU22++AX22+BA22+BD22+BG22+BJ22+BM22+BP22</f>
        <v>#REF!</v>
      </c>
      <c r="BT22" s="4"/>
      <c r="BU22" s="4"/>
      <c r="BV22" s="4"/>
      <c r="BW22" s="4"/>
      <c r="BX22" s="4"/>
    </row>
    <row r="23" ht="15.75" customHeight="1" spans="1:76">
      <c r="A23" s="15"/>
      <c r="B23" s="16" t="s">
        <v>409</v>
      </c>
      <c r="C23" s="15"/>
      <c r="D23" s="23" t="s">
        <v>410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7"/>
      <c r="P23" s="60"/>
      <c r="Q23" s="60"/>
      <c r="R23" s="15"/>
      <c r="S23" s="15"/>
      <c r="T23" s="15"/>
      <c r="U23" s="20"/>
      <c r="V23" s="20"/>
      <c r="W23" s="20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22"/>
      <c r="BS23" s="15"/>
      <c r="BT23" s="4"/>
      <c r="BU23" s="4"/>
      <c r="BV23" s="4"/>
      <c r="BW23" s="4"/>
      <c r="BX23" s="4"/>
    </row>
    <row r="24" ht="15.75" customHeight="1" spans="1:76">
      <c r="A24" s="15"/>
      <c r="B24" s="16" t="s">
        <v>411</v>
      </c>
      <c r="C24" s="15"/>
      <c r="D24" s="23" t="s">
        <v>412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7"/>
      <c r="P24" s="60"/>
      <c r="Q24" s="60"/>
      <c r="R24" s="15"/>
      <c r="S24" s="15"/>
      <c r="T24" s="15"/>
      <c r="U24" s="20"/>
      <c r="V24" s="20"/>
      <c r="W24" s="2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22"/>
      <c r="BS24" s="15"/>
      <c r="BT24" s="4"/>
      <c r="BU24" s="4"/>
      <c r="BV24" s="4"/>
      <c r="BW24" s="4"/>
      <c r="BX24" s="4"/>
    </row>
    <row r="25" ht="15.75" customHeight="1" spans="1:76">
      <c r="A25" s="24"/>
      <c r="B25" s="47">
        <v>3.1</v>
      </c>
      <c r="C25" s="24"/>
      <c r="D25" s="26" t="s">
        <v>412</v>
      </c>
      <c r="E25" s="2"/>
      <c r="F25" s="2"/>
      <c r="G25" s="2"/>
      <c r="H25" s="2"/>
      <c r="I25" s="7"/>
      <c r="J25" s="24"/>
      <c r="K25" s="24"/>
      <c r="L25" s="24"/>
      <c r="M25" s="28"/>
      <c r="N25" s="29">
        <f t="shared" ref="N25:BR25" si="48">SUM(N26)</f>
        <v>50000000</v>
      </c>
      <c r="O25" s="29">
        <f t="shared" si="48"/>
        <v>2777778</v>
      </c>
      <c r="P25" s="29" t="e">
        <f t="shared" si="48"/>
        <v>#REF!</v>
      </c>
      <c r="Q25" s="29" t="e">
        <f t="shared" si="48"/>
        <v>#REF!</v>
      </c>
      <c r="R25" s="29">
        <f t="shared" si="48"/>
        <v>2777778</v>
      </c>
      <c r="S25" s="29" t="e">
        <f t="shared" si="48"/>
        <v>#REF!</v>
      </c>
      <c r="T25" s="29" t="e">
        <f t="shared" si="48"/>
        <v>#REF!</v>
      </c>
      <c r="U25" s="29">
        <f t="shared" si="48"/>
        <v>2777778</v>
      </c>
      <c r="V25" s="29" t="e">
        <f t="shared" si="48"/>
        <v>#REF!</v>
      </c>
      <c r="W25" s="29" t="e">
        <f t="shared" si="48"/>
        <v>#REF!</v>
      </c>
      <c r="X25" s="29">
        <f t="shared" si="48"/>
        <v>2777778</v>
      </c>
      <c r="Y25" s="29" t="e">
        <f t="shared" si="48"/>
        <v>#REF!</v>
      </c>
      <c r="Z25" s="29" t="e">
        <f t="shared" si="48"/>
        <v>#REF!</v>
      </c>
      <c r="AA25" s="29">
        <f t="shared" si="48"/>
        <v>2777778</v>
      </c>
      <c r="AB25" s="29" t="e">
        <f t="shared" si="48"/>
        <v>#REF!</v>
      </c>
      <c r="AC25" s="29" t="e">
        <f t="shared" si="48"/>
        <v>#REF!</v>
      </c>
      <c r="AD25" s="29">
        <f t="shared" si="48"/>
        <v>2777778</v>
      </c>
      <c r="AE25" s="29" t="e">
        <f t="shared" si="48"/>
        <v>#REF!</v>
      </c>
      <c r="AF25" s="29" t="e">
        <f t="shared" si="48"/>
        <v>#REF!</v>
      </c>
      <c r="AG25" s="29">
        <f t="shared" si="48"/>
        <v>2777778</v>
      </c>
      <c r="AH25" s="29" t="e">
        <f t="shared" si="48"/>
        <v>#REF!</v>
      </c>
      <c r="AI25" s="29" t="e">
        <f t="shared" si="48"/>
        <v>#REF!</v>
      </c>
      <c r="AJ25" s="29">
        <f t="shared" si="48"/>
        <v>2777778</v>
      </c>
      <c r="AK25" s="29" t="e">
        <f t="shared" si="48"/>
        <v>#REF!</v>
      </c>
      <c r="AL25" s="29" t="e">
        <f t="shared" si="48"/>
        <v>#REF!</v>
      </c>
      <c r="AM25" s="29">
        <f t="shared" si="48"/>
        <v>2777778</v>
      </c>
      <c r="AN25" s="29" t="e">
        <f t="shared" si="48"/>
        <v>#REF!</v>
      </c>
      <c r="AO25" s="29" t="e">
        <f t="shared" si="48"/>
        <v>#REF!</v>
      </c>
      <c r="AP25" s="29">
        <f t="shared" si="48"/>
        <v>25000000</v>
      </c>
      <c r="AQ25" s="29">
        <f t="shared" si="48"/>
        <v>2777778</v>
      </c>
      <c r="AR25" s="29" t="e">
        <f t="shared" si="48"/>
        <v>#REF!</v>
      </c>
      <c r="AS25" s="29" t="e">
        <f t="shared" si="48"/>
        <v>#REF!</v>
      </c>
      <c r="AT25" s="29">
        <f t="shared" si="48"/>
        <v>2777778</v>
      </c>
      <c r="AU25" s="29" t="e">
        <f t="shared" si="48"/>
        <v>#REF!</v>
      </c>
      <c r="AV25" s="29" t="e">
        <f t="shared" si="48"/>
        <v>#REF!</v>
      </c>
      <c r="AW25" s="29">
        <f t="shared" si="48"/>
        <v>2777778</v>
      </c>
      <c r="AX25" s="29" t="e">
        <f t="shared" si="48"/>
        <v>#REF!</v>
      </c>
      <c r="AY25" s="29" t="e">
        <f t="shared" si="48"/>
        <v>#REF!</v>
      </c>
      <c r="AZ25" s="29">
        <f t="shared" si="48"/>
        <v>2777778</v>
      </c>
      <c r="BA25" s="29" t="e">
        <f t="shared" si="48"/>
        <v>#REF!</v>
      </c>
      <c r="BB25" s="29" t="e">
        <f t="shared" si="48"/>
        <v>#REF!</v>
      </c>
      <c r="BC25" s="29">
        <f t="shared" si="48"/>
        <v>2777778</v>
      </c>
      <c r="BD25" s="29" t="e">
        <f t="shared" si="48"/>
        <v>#REF!</v>
      </c>
      <c r="BE25" s="29" t="e">
        <f t="shared" si="48"/>
        <v>#REF!</v>
      </c>
      <c r="BF25" s="29">
        <f t="shared" si="48"/>
        <v>2777778</v>
      </c>
      <c r="BG25" s="29" t="e">
        <f t="shared" si="48"/>
        <v>#REF!</v>
      </c>
      <c r="BH25" s="29" t="e">
        <f t="shared" si="48"/>
        <v>#REF!</v>
      </c>
      <c r="BI25" s="29">
        <f t="shared" si="48"/>
        <v>2777778</v>
      </c>
      <c r="BJ25" s="29" t="e">
        <f t="shared" si="48"/>
        <v>#REF!</v>
      </c>
      <c r="BK25" s="29" t="e">
        <f t="shared" si="48"/>
        <v>#REF!</v>
      </c>
      <c r="BL25" s="29">
        <f t="shared" si="48"/>
        <v>2777778</v>
      </c>
      <c r="BM25" s="29" t="e">
        <f t="shared" si="48"/>
        <v>#REF!</v>
      </c>
      <c r="BN25" s="29" t="e">
        <f t="shared" si="48"/>
        <v>#REF!</v>
      </c>
      <c r="BO25" s="29">
        <f t="shared" si="48"/>
        <v>2777778</v>
      </c>
      <c r="BP25" s="29" t="e">
        <f t="shared" si="48"/>
        <v>#REF!</v>
      </c>
      <c r="BQ25" s="29" t="e">
        <f t="shared" si="48"/>
        <v>#REF!</v>
      </c>
      <c r="BR25" s="30">
        <f t="shared" si="48"/>
        <v>25000000</v>
      </c>
      <c r="BS25" s="29"/>
      <c r="BT25" s="4"/>
      <c r="BU25" s="4"/>
      <c r="BV25" s="4"/>
      <c r="BW25" s="4"/>
      <c r="BX25" s="4"/>
    </row>
    <row r="26" ht="15.75" customHeight="1" spans="1:76">
      <c r="A26" s="31">
        <v>4302</v>
      </c>
      <c r="B26" s="27" t="s">
        <v>413</v>
      </c>
      <c r="C26" s="27" t="s">
        <v>414</v>
      </c>
      <c r="D26" s="33" t="s">
        <v>415</v>
      </c>
      <c r="E26" s="2"/>
      <c r="F26" s="2"/>
      <c r="G26" s="2"/>
      <c r="H26" s="2"/>
      <c r="I26" s="7"/>
      <c r="J26" s="31">
        <v>1</v>
      </c>
      <c r="K26" s="31">
        <v>1</v>
      </c>
      <c r="L26" s="35" t="s">
        <v>416</v>
      </c>
      <c r="M26" s="36">
        <v>50000000</v>
      </c>
      <c r="N26" s="36">
        <v>50000000</v>
      </c>
      <c r="O26" s="36">
        <v>2777778</v>
      </c>
      <c r="P26" s="38" t="e">
        <f>SUMIF(#REF!,$P$3&amp;B26,#REF!)</f>
        <v>#REF!</v>
      </c>
      <c r="Q26" s="39" t="e">
        <f>O26-P26</f>
        <v>#REF!</v>
      </c>
      <c r="R26" s="36">
        <v>2777778</v>
      </c>
      <c r="S26" s="38" t="e">
        <f>SUMIF(#REF!,$S$3&amp;B26,#REF!)</f>
        <v>#REF!</v>
      </c>
      <c r="T26" s="39" t="e">
        <f>Q26+R26-S26</f>
        <v>#REF!</v>
      </c>
      <c r="U26" s="36">
        <v>2777778</v>
      </c>
      <c r="V26" s="38" t="e">
        <f>#REF!</f>
        <v>#REF!</v>
      </c>
      <c r="W26" s="39" t="e">
        <f>T26+U26-V26</f>
        <v>#REF!</v>
      </c>
      <c r="X26" s="36">
        <v>2777778</v>
      </c>
      <c r="Y26" s="38" t="e">
        <f>#REF!</f>
        <v>#REF!</v>
      </c>
      <c r="Z26" s="39" t="e">
        <f>W26+X26-Y26</f>
        <v>#REF!</v>
      </c>
      <c r="AA26" s="36">
        <v>2777778</v>
      </c>
      <c r="AB26" s="38" t="e">
        <f>#REF!</f>
        <v>#REF!</v>
      </c>
      <c r="AC26" s="39" t="e">
        <f>Z26+AA26-AB26</f>
        <v>#REF!</v>
      </c>
      <c r="AD26" s="36">
        <v>2777778</v>
      </c>
      <c r="AE26" s="38" t="e">
        <f>#REF!</f>
        <v>#REF!</v>
      </c>
      <c r="AF26" s="39" t="e">
        <f>AC26+AD26-AE26</f>
        <v>#REF!</v>
      </c>
      <c r="AG26" s="48">
        <v>2777778</v>
      </c>
      <c r="AH26" s="51" t="e">
        <f>#REF!</f>
        <v>#REF!</v>
      </c>
      <c r="AI26" s="39" t="e">
        <f>AF26+AG26-AH26</f>
        <v>#REF!</v>
      </c>
      <c r="AJ26" s="36">
        <v>2777778</v>
      </c>
      <c r="AK26" s="51" t="e">
        <f>#REF!</f>
        <v>#REF!</v>
      </c>
      <c r="AL26" s="39" t="e">
        <f>AI26+AJ26-AK26</f>
        <v>#REF!</v>
      </c>
      <c r="AM26" s="36">
        <v>2777778</v>
      </c>
      <c r="AN26" s="38" t="e">
        <f>#REF!</f>
        <v>#REF!</v>
      </c>
      <c r="AO26" s="39" t="e">
        <f>AL26+AM26-AN26</f>
        <v>#REF!</v>
      </c>
      <c r="AP26" s="36">
        <v>25000000</v>
      </c>
      <c r="AQ26" s="36">
        <v>2777778</v>
      </c>
      <c r="AR26" s="38" t="e">
        <f>#REF!</f>
        <v>#REF!</v>
      </c>
      <c r="AS26" s="39" t="e">
        <f>AO26+AQ26-AR26</f>
        <v>#REF!</v>
      </c>
      <c r="AT26" s="36">
        <v>2777778</v>
      </c>
      <c r="AU26" s="38" t="e">
        <f>#REF!</f>
        <v>#REF!</v>
      </c>
      <c r="AV26" s="39" t="e">
        <f>AS26+AT26-AU26</f>
        <v>#REF!</v>
      </c>
      <c r="AW26" s="36">
        <v>2777778</v>
      </c>
      <c r="AX26" s="38" t="e">
        <f>#REF!</f>
        <v>#REF!</v>
      </c>
      <c r="AY26" s="39" t="e">
        <f>AV26+AW26-AX26</f>
        <v>#REF!</v>
      </c>
      <c r="AZ26" s="36">
        <v>2777778</v>
      </c>
      <c r="BA26" s="38" t="e">
        <f>#REF!</f>
        <v>#REF!</v>
      </c>
      <c r="BB26" s="39" t="e">
        <f>AY26+AZ26-BA26</f>
        <v>#REF!</v>
      </c>
      <c r="BC26" s="36">
        <v>2777778</v>
      </c>
      <c r="BD26" s="38" t="e">
        <f>#REF!</f>
        <v>#REF!</v>
      </c>
      <c r="BE26" s="39" t="e">
        <f>BB26+BC26-BD26</f>
        <v>#REF!</v>
      </c>
      <c r="BF26" s="36">
        <v>2777778</v>
      </c>
      <c r="BG26" s="38" t="e">
        <f>#REF!</f>
        <v>#REF!</v>
      </c>
      <c r="BH26" s="39" t="e">
        <f>BE26+BF26-BG26</f>
        <v>#REF!</v>
      </c>
      <c r="BI26" s="36">
        <v>2777778</v>
      </c>
      <c r="BJ26" s="38" t="e">
        <f>#REF!</f>
        <v>#REF!</v>
      </c>
      <c r="BK26" s="39" t="e">
        <f>BH26+BI26-BJ26</f>
        <v>#REF!</v>
      </c>
      <c r="BL26" s="36">
        <v>2777778</v>
      </c>
      <c r="BM26" s="38" t="e">
        <f>#REF!</f>
        <v>#REF!</v>
      </c>
      <c r="BN26" s="39" t="e">
        <f>BK26+BL26-BM26</f>
        <v>#REF!</v>
      </c>
      <c r="BO26" s="36">
        <v>2777778</v>
      </c>
      <c r="BP26" s="38" t="e">
        <f>#REF!</f>
        <v>#REF!</v>
      </c>
      <c r="BQ26" s="39" t="e">
        <f>BN26+BO26-BP26</f>
        <v>#REF!</v>
      </c>
      <c r="BR26" s="46">
        <v>25000000</v>
      </c>
      <c r="BS26" s="41" t="e">
        <f t="shared" ref="BS26:BS27" si="49">P26+S26+V26+Y26+AB26+AE26+AH26+AK26+AN26+AR26+AU26++AX26+BA26+BD26+BG26+BJ26+BM26+BP26</f>
        <v>#REF!</v>
      </c>
      <c r="BT26" s="4"/>
      <c r="BU26" s="4"/>
      <c r="BV26" s="4"/>
      <c r="BW26" s="4"/>
      <c r="BX26" s="4"/>
    </row>
    <row r="27" ht="15.75" customHeight="1" spans="1:76">
      <c r="A27" s="24"/>
      <c r="B27" s="54"/>
      <c r="C27" s="61"/>
      <c r="D27" s="61"/>
      <c r="E27" s="61"/>
      <c r="F27" s="61"/>
      <c r="G27" s="61"/>
      <c r="H27" s="61"/>
      <c r="I27" s="61"/>
      <c r="J27" s="61"/>
      <c r="K27" s="61"/>
      <c r="L27" s="2"/>
      <c r="M27" s="62" t="s">
        <v>408</v>
      </c>
      <c r="N27" s="63">
        <f t="shared" ref="N27:BR27" si="50">SUM(N25)</f>
        <v>50000000</v>
      </c>
      <c r="O27" s="63">
        <f t="shared" si="50"/>
        <v>2777778</v>
      </c>
      <c r="P27" s="58" t="e">
        <f t="shared" si="50"/>
        <v>#REF!</v>
      </c>
      <c r="Q27" s="58" t="e">
        <f t="shared" si="50"/>
        <v>#REF!</v>
      </c>
      <c r="R27" s="63">
        <f t="shared" si="50"/>
        <v>2777778</v>
      </c>
      <c r="S27" s="58" t="e">
        <f t="shared" si="50"/>
        <v>#REF!</v>
      </c>
      <c r="T27" s="58" t="e">
        <f t="shared" si="50"/>
        <v>#REF!</v>
      </c>
      <c r="U27" s="63">
        <f t="shared" si="50"/>
        <v>2777778</v>
      </c>
      <c r="V27" s="58" t="e">
        <f t="shared" si="50"/>
        <v>#REF!</v>
      </c>
      <c r="W27" s="58" t="e">
        <f t="shared" si="50"/>
        <v>#REF!</v>
      </c>
      <c r="X27" s="63">
        <f t="shared" si="50"/>
        <v>2777778</v>
      </c>
      <c r="Y27" s="58" t="e">
        <f t="shared" si="50"/>
        <v>#REF!</v>
      </c>
      <c r="Z27" s="58" t="e">
        <f t="shared" si="50"/>
        <v>#REF!</v>
      </c>
      <c r="AA27" s="63">
        <f t="shared" si="50"/>
        <v>2777778</v>
      </c>
      <c r="AB27" s="58" t="e">
        <f t="shared" si="50"/>
        <v>#REF!</v>
      </c>
      <c r="AC27" s="58" t="e">
        <f t="shared" si="50"/>
        <v>#REF!</v>
      </c>
      <c r="AD27" s="63">
        <f t="shared" si="50"/>
        <v>2777778</v>
      </c>
      <c r="AE27" s="58" t="e">
        <f t="shared" si="50"/>
        <v>#REF!</v>
      </c>
      <c r="AF27" s="58" t="e">
        <f t="shared" si="50"/>
        <v>#REF!</v>
      </c>
      <c r="AG27" s="63">
        <f t="shared" si="50"/>
        <v>2777778</v>
      </c>
      <c r="AH27" s="58" t="e">
        <f t="shared" si="50"/>
        <v>#REF!</v>
      </c>
      <c r="AI27" s="58" t="e">
        <f t="shared" si="50"/>
        <v>#REF!</v>
      </c>
      <c r="AJ27" s="63">
        <f t="shared" si="50"/>
        <v>2777778</v>
      </c>
      <c r="AK27" s="58" t="e">
        <f t="shared" si="50"/>
        <v>#REF!</v>
      </c>
      <c r="AL27" s="58" t="e">
        <f t="shared" si="50"/>
        <v>#REF!</v>
      </c>
      <c r="AM27" s="63">
        <f t="shared" si="50"/>
        <v>2777778</v>
      </c>
      <c r="AN27" s="58" t="e">
        <f t="shared" si="50"/>
        <v>#REF!</v>
      </c>
      <c r="AO27" s="58" t="e">
        <f t="shared" si="50"/>
        <v>#REF!</v>
      </c>
      <c r="AP27" s="63">
        <f t="shared" si="50"/>
        <v>25000000</v>
      </c>
      <c r="AQ27" s="63">
        <f t="shared" si="50"/>
        <v>2777778</v>
      </c>
      <c r="AR27" s="58" t="e">
        <f t="shared" si="50"/>
        <v>#REF!</v>
      </c>
      <c r="AS27" s="58" t="e">
        <f t="shared" si="50"/>
        <v>#REF!</v>
      </c>
      <c r="AT27" s="63">
        <f t="shared" si="50"/>
        <v>2777778</v>
      </c>
      <c r="AU27" s="58" t="e">
        <f t="shared" si="50"/>
        <v>#REF!</v>
      </c>
      <c r="AV27" s="58" t="e">
        <f t="shared" si="50"/>
        <v>#REF!</v>
      </c>
      <c r="AW27" s="63">
        <f t="shared" si="50"/>
        <v>2777778</v>
      </c>
      <c r="AX27" s="58" t="e">
        <f t="shared" si="50"/>
        <v>#REF!</v>
      </c>
      <c r="AY27" s="58" t="e">
        <f t="shared" si="50"/>
        <v>#REF!</v>
      </c>
      <c r="AZ27" s="63">
        <f t="shared" si="50"/>
        <v>2777778</v>
      </c>
      <c r="BA27" s="58" t="e">
        <f t="shared" si="50"/>
        <v>#REF!</v>
      </c>
      <c r="BB27" s="58" t="e">
        <f t="shared" si="50"/>
        <v>#REF!</v>
      </c>
      <c r="BC27" s="63">
        <f t="shared" si="50"/>
        <v>2777778</v>
      </c>
      <c r="BD27" s="58" t="e">
        <f t="shared" si="50"/>
        <v>#REF!</v>
      </c>
      <c r="BE27" s="58" t="e">
        <f t="shared" si="50"/>
        <v>#REF!</v>
      </c>
      <c r="BF27" s="63">
        <f t="shared" si="50"/>
        <v>2777778</v>
      </c>
      <c r="BG27" s="58" t="e">
        <f t="shared" si="50"/>
        <v>#REF!</v>
      </c>
      <c r="BH27" s="58" t="e">
        <f t="shared" si="50"/>
        <v>#REF!</v>
      </c>
      <c r="BI27" s="63">
        <f t="shared" si="50"/>
        <v>2777778</v>
      </c>
      <c r="BJ27" s="58" t="e">
        <f t="shared" si="50"/>
        <v>#REF!</v>
      </c>
      <c r="BK27" s="58" t="e">
        <f t="shared" si="50"/>
        <v>#REF!</v>
      </c>
      <c r="BL27" s="63">
        <f t="shared" si="50"/>
        <v>2777778</v>
      </c>
      <c r="BM27" s="58" t="e">
        <f t="shared" si="50"/>
        <v>#REF!</v>
      </c>
      <c r="BN27" s="58" t="e">
        <f t="shared" si="50"/>
        <v>#REF!</v>
      </c>
      <c r="BO27" s="63">
        <f t="shared" si="50"/>
        <v>2777778</v>
      </c>
      <c r="BP27" s="58" t="e">
        <f t="shared" si="50"/>
        <v>#REF!</v>
      </c>
      <c r="BQ27" s="58" t="e">
        <f t="shared" si="50"/>
        <v>#REF!</v>
      </c>
      <c r="BR27" s="64">
        <f t="shared" si="50"/>
        <v>25000000</v>
      </c>
      <c r="BS27" s="58" t="e">
        <f t="shared" si="49"/>
        <v>#REF!</v>
      </c>
      <c r="BT27" s="4"/>
      <c r="BU27" s="4"/>
      <c r="BV27" s="4"/>
      <c r="BW27" s="4"/>
      <c r="BX27" s="4"/>
    </row>
    <row r="28" ht="15.75" customHeight="1" spans="1:76">
      <c r="A28" s="15"/>
      <c r="B28" s="16" t="s">
        <v>417</v>
      </c>
      <c r="C28" s="15"/>
      <c r="D28" s="23" t="s">
        <v>418</v>
      </c>
      <c r="E28" s="2"/>
      <c r="F28" s="2"/>
      <c r="G28" s="2"/>
      <c r="H28" s="2"/>
      <c r="I28" s="2"/>
      <c r="J28" s="2"/>
      <c r="K28" s="2"/>
      <c r="L28" s="2"/>
      <c r="M28" s="2"/>
      <c r="N28" s="7"/>
      <c r="O28" s="15"/>
      <c r="P28" s="15"/>
      <c r="Q28" s="15"/>
      <c r="R28" s="15"/>
      <c r="S28" s="15"/>
      <c r="T28" s="15"/>
      <c r="U28" s="20"/>
      <c r="V28" s="20"/>
      <c r="W28" s="2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65"/>
      <c r="AL28" s="15"/>
      <c r="AM28" s="15"/>
      <c r="AN28" s="65"/>
      <c r="AO28" s="15"/>
      <c r="AP28" s="15"/>
      <c r="AQ28" s="15"/>
      <c r="AR28" s="65"/>
      <c r="AS28" s="15"/>
      <c r="AT28" s="15"/>
      <c r="AU28" s="65"/>
      <c r="AV28" s="15"/>
      <c r="AW28" s="15"/>
      <c r="AX28" s="65"/>
      <c r="AY28" s="15"/>
      <c r="AZ28" s="15"/>
      <c r="BA28" s="65"/>
      <c r="BB28" s="15"/>
      <c r="BC28" s="15"/>
      <c r="BD28" s="65"/>
      <c r="BE28" s="15"/>
      <c r="BF28" s="15"/>
      <c r="BG28" s="65"/>
      <c r="BH28" s="15"/>
      <c r="BI28" s="15"/>
      <c r="BJ28" s="65"/>
      <c r="BK28" s="15"/>
      <c r="BL28" s="15"/>
      <c r="BM28" s="65"/>
      <c r="BN28" s="15"/>
      <c r="BO28" s="15"/>
      <c r="BP28" s="65"/>
      <c r="BQ28" s="15"/>
      <c r="BR28" s="22"/>
      <c r="BS28" s="15"/>
      <c r="BT28" s="4"/>
      <c r="BU28" s="4"/>
      <c r="BV28" s="4"/>
      <c r="BW28" s="4"/>
      <c r="BX28" s="4"/>
    </row>
    <row r="29" ht="15.75" customHeight="1" spans="1:76">
      <c r="A29" s="24"/>
      <c r="B29" s="25" t="s">
        <v>419</v>
      </c>
      <c r="C29" s="24"/>
      <c r="D29" s="26" t="s">
        <v>420</v>
      </c>
      <c r="E29" s="2"/>
      <c r="F29" s="2"/>
      <c r="G29" s="2"/>
      <c r="H29" s="2"/>
      <c r="I29" s="7"/>
      <c r="J29" s="24"/>
      <c r="K29" s="24"/>
      <c r="L29" s="24"/>
      <c r="M29" s="28"/>
      <c r="N29" s="29">
        <f t="shared" ref="N29:BR29" si="51">N30+N31+N38</f>
        <v>571178000</v>
      </c>
      <c r="O29" s="29">
        <f t="shared" si="51"/>
        <v>571178000</v>
      </c>
      <c r="P29" s="29" t="e">
        <f t="shared" si="51"/>
        <v>#REF!</v>
      </c>
      <c r="Q29" s="29" t="e">
        <f t="shared" si="51"/>
        <v>#REF!</v>
      </c>
      <c r="R29" s="29">
        <f t="shared" si="51"/>
        <v>0</v>
      </c>
      <c r="S29" s="29" t="e">
        <f t="shared" si="51"/>
        <v>#REF!</v>
      </c>
      <c r="T29" s="29" t="e">
        <f t="shared" si="51"/>
        <v>#REF!</v>
      </c>
      <c r="U29" s="29">
        <f t="shared" si="51"/>
        <v>0</v>
      </c>
      <c r="V29" s="29" t="e">
        <f t="shared" si="51"/>
        <v>#REF!</v>
      </c>
      <c r="W29" s="29" t="e">
        <f t="shared" si="51"/>
        <v>#REF!</v>
      </c>
      <c r="X29" s="29">
        <f t="shared" si="51"/>
        <v>0</v>
      </c>
      <c r="Y29" s="29" t="e">
        <f t="shared" si="51"/>
        <v>#REF!</v>
      </c>
      <c r="Z29" s="29" t="e">
        <f t="shared" si="51"/>
        <v>#REF!</v>
      </c>
      <c r="AA29" s="29">
        <f t="shared" si="51"/>
        <v>0</v>
      </c>
      <c r="AB29" s="29">
        <f t="shared" si="51"/>
        <v>0</v>
      </c>
      <c r="AC29" s="29" t="e">
        <f t="shared" si="51"/>
        <v>#REF!</v>
      </c>
      <c r="AD29" s="29">
        <f t="shared" si="51"/>
        <v>0</v>
      </c>
      <c r="AE29" s="29" t="e">
        <f t="shared" si="51"/>
        <v>#REF!</v>
      </c>
      <c r="AF29" s="29" t="e">
        <f t="shared" si="51"/>
        <v>#REF!</v>
      </c>
      <c r="AG29" s="29">
        <f t="shared" si="51"/>
        <v>0</v>
      </c>
      <c r="AH29" s="29" t="e">
        <f t="shared" si="51"/>
        <v>#REF!</v>
      </c>
      <c r="AI29" s="29" t="e">
        <f t="shared" si="51"/>
        <v>#REF!</v>
      </c>
      <c r="AJ29" s="29">
        <f t="shared" si="51"/>
        <v>0</v>
      </c>
      <c r="AK29" s="29">
        <f t="shared" si="51"/>
        <v>0</v>
      </c>
      <c r="AL29" s="29" t="e">
        <f t="shared" si="51"/>
        <v>#REF!</v>
      </c>
      <c r="AM29" s="29">
        <f t="shared" si="51"/>
        <v>0</v>
      </c>
      <c r="AN29" s="29" t="e">
        <f t="shared" si="51"/>
        <v>#REF!</v>
      </c>
      <c r="AO29" s="29" t="e">
        <f t="shared" si="51"/>
        <v>#REF!</v>
      </c>
      <c r="AP29" s="29">
        <f t="shared" si="51"/>
        <v>571178000</v>
      </c>
      <c r="AQ29" s="29">
        <f t="shared" si="51"/>
        <v>0</v>
      </c>
      <c r="AR29" s="29" t="e">
        <f t="shared" si="51"/>
        <v>#REF!</v>
      </c>
      <c r="AS29" s="29" t="e">
        <f t="shared" si="51"/>
        <v>#REF!</v>
      </c>
      <c r="AT29" s="29">
        <f t="shared" si="51"/>
        <v>0</v>
      </c>
      <c r="AU29" s="29" t="e">
        <f t="shared" si="51"/>
        <v>#REF!</v>
      </c>
      <c r="AV29" s="29" t="e">
        <f t="shared" si="51"/>
        <v>#REF!</v>
      </c>
      <c r="AW29" s="29">
        <f t="shared" si="51"/>
        <v>0</v>
      </c>
      <c r="AX29" s="29" t="e">
        <f t="shared" si="51"/>
        <v>#REF!</v>
      </c>
      <c r="AY29" s="29" t="e">
        <f t="shared" si="51"/>
        <v>#REF!</v>
      </c>
      <c r="AZ29" s="29">
        <f t="shared" si="51"/>
        <v>0</v>
      </c>
      <c r="BA29" s="29">
        <f t="shared" si="51"/>
        <v>0</v>
      </c>
      <c r="BB29" s="29" t="e">
        <f t="shared" si="51"/>
        <v>#REF!</v>
      </c>
      <c r="BC29" s="29">
        <f t="shared" si="51"/>
        <v>0</v>
      </c>
      <c r="BD29" s="29">
        <f t="shared" si="51"/>
        <v>0</v>
      </c>
      <c r="BE29" s="29" t="e">
        <f t="shared" si="51"/>
        <v>#REF!</v>
      </c>
      <c r="BF29" s="29">
        <f t="shared" si="51"/>
        <v>0</v>
      </c>
      <c r="BG29" s="29">
        <f t="shared" si="51"/>
        <v>0</v>
      </c>
      <c r="BH29" s="29" t="e">
        <f t="shared" si="51"/>
        <v>#REF!</v>
      </c>
      <c r="BI29" s="29">
        <f t="shared" si="51"/>
        <v>0</v>
      </c>
      <c r="BJ29" s="29">
        <f t="shared" si="51"/>
        <v>0</v>
      </c>
      <c r="BK29" s="29" t="e">
        <f t="shared" si="51"/>
        <v>#REF!</v>
      </c>
      <c r="BL29" s="29">
        <f t="shared" si="51"/>
        <v>0</v>
      </c>
      <c r="BM29" s="29">
        <f t="shared" si="51"/>
        <v>0</v>
      </c>
      <c r="BN29" s="29" t="e">
        <f t="shared" si="51"/>
        <v>#REF!</v>
      </c>
      <c r="BO29" s="29">
        <f t="shared" si="51"/>
        <v>0</v>
      </c>
      <c r="BP29" s="29">
        <f t="shared" si="51"/>
        <v>0</v>
      </c>
      <c r="BQ29" s="29" t="e">
        <f t="shared" si="51"/>
        <v>#REF!</v>
      </c>
      <c r="BR29" s="30">
        <f t="shared" si="51"/>
        <v>0</v>
      </c>
      <c r="BS29" s="29"/>
      <c r="BT29" s="4"/>
      <c r="BU29" s="4"/>
      <c r="BV29" s="4"/>
      <c r="BW29" s="4"/>
      <c r="BX29" s="4"/>
    </row>
    <row r="30" ht="15.75" customHeight="1" spans="1:76">
      <c r="A30" s="31">
        <v>4411</v>
      </c>
      <c r="B30" s="27" t="s">
        <v>421</v>
      </c>
      <c r="C30" s="27" t="s">
        <v>414</v>
      </c>
      <c r="D30" s="6" t="s">
        <v>422</v>
      </c>
      <c r="E30" s="2"/>
      <c r="F30" s="2"/>
      <c r="G30" s="2"/>
      <c r="H30" s="2"/>
      <c r="I30" s="7"/>
      <c r="J30" s="31">
        <v>1</v>
      </c>
      <c r="K30" s="31">
        <v>1</v>
      </c>
      <c r="L30" s="35" t="s">
        <v>405</v>
      </c>
      <c r="M30" s="36">
        <v>620950000</v>
      </c>
      <c r="N30" s="36">
        <v>381350000</v>
      </c>
      <c r="O30" s="36">
        <v>381350000</v>
      </c>
      <c r="P30" s="38" t="e">
        <f>SUMIF(#REF!,$P$3&amp;B30,#REF!)</f>
        <v>#REF!</v>
      </c>
      <c r="Q30" s="39" t="e">
        <f t="shared" ref="Q30:Q31" si="52">O30-P30</f>
        <v>#REF!</v>
      </c>
      <c r="R30" s="66">
        <v>0</v>
      </c>
      <c r="S30" s="38" t="e">
        <f>SUMIF(#REF!,$S$3&amp;B30,#REF!)</f>
        <v>#REF!</v>
      </c>
      <c r="T30" s="67" t="e">
        <f t="shared" ref="T30:T31" si="53">Q30+R30-S30</f>
        <v>#REF!</v>
      </c>
      <c r="U30" s="66">
        <v>0</v>
      </c>
      <c r="V30" s="68" t="e">
        <f>#REF!+#REF!+#REF!+#REF!+#REF!+#REF!+#REF!+#REF!</f>
        <v>#REF!</v>
      </c>
      <c r="W30" s="67" t="e">
        <f t="shared" ref="W30:W31" si="54">T30+U30-V30</f>
        <v>#REF!</v>
      </c>
      <c r="X30" s="66">
        <v>0</v>
      </c>
      <c r="Y30" s="68" t="e">
        <f>#REF!+#REF!+#REF!+#REF!+#REF!+#REF!+#REF!+#REF!+#REF!+#REF!+#REF!+#REF!</f>
        <v>#REF!</v>
      </c>
      <c r="Z30" s="67" t="e">
        <f t="shared" ref="Z30:Z31" si="55">W30+X30-Y30</f>
        <v>#REF!</v>
      </c>
      <c r="AA30" s="66">
        <v>0</v>
      </c>
      <c r="AB30" s="68">
        <v>0</v>
      </c>
      <c r="AC30" s="67" t="e">
        <f t="shared" ref="AC30:AC31" si="56">Z30+AA30-AB30</f>
        <v>#REF!</v>
      </c>
      <c r="AD30" s="66">
        <v>0</v>
      </c>
      <c r="AE30" s="68" t="e">
        <f>#REF!+#REF!</f>
        <v>#REF!</v>
      </c>
      <c r="AF30" s="39" t="e">
        <f t="shared" ref="AF30:AF31" si="57">AC30+AD30-AE30</f>
        <v>#REF!</v>
      </c>
      <c r="AG30" s="66">
        <v>0</v>
      </c>
      <c r="AH30" s="69" t="e">
        <f>#REF!+#REF!+#REF!</f>
        <v>#REF!</v>
      </c>
      <c r="AI30" s="39" t="e">
        <f t="shared" ref="AI30:AI31" si="58">AF30+AG30-AH30</f>
        <v>#REF!</v>
      </c>
      <c r="AJ30" s="66">
        <v>0</v>
      </c>
      <c r="AK30" s="51">
        <v>0</v>
      </c>
      <c r="AL30" s="39" t="e">
        <f t="shared" ref="AL30:AL31" si="59">AI30+AJ30-AK30</f>
        <v>#REF!</v>
      </c>
      <c r="AM30" s="66">
        <v>0</v>
      </c>
      <c r="AN30" s="38" t="e">
        <f>#REF!+#REF!</f>
        <v>#REF!</v>
      </c>
      <c r="AO30" s="39" t="e">
        <f t="shared" ref="AO30:AO31" si="60">AL30+AM30-AN30</f>
        <v>#REF!</v>
      </c>
      <c r="AP30" s="57">
        <v>381350000</v>
      </c>
      <c r="AQ30" s="66">
        <v>0</v>
      </c>
      <c r="AR30" s="38" t="e">
        <f>#REF!</f>
        <v>#REF!</v>
      </c>
      <c r="AS30" s="39" t="e">
        <f t="shared" ref="AS30:AS31" si="61">AO30+AQ30-AR30</f>
        <v>#REF!</v>
      </c>
      <c r="AT30" s="66">
        <v>0</v>
      </c>
      <c r="AU30" s="38" t="e">
        <f>#REF!</f>
        <v>#REF!</v>
      </c>
      <c r="AV30" s="39" t="e">
        <f t="shared" ref="AV30:AV31" si="62">AS30+AT30-AU30</f>
        <v>#REF!</v>
      </c>
      <c r="AW30" s="66">
        <v>0</v>
      </c>
      <c r="AX30" s="38" t="e">
        <f>#REF!</f>
        <v>#REF!</v>
      </c>
      <c r="AY30" s="39" t="e">
        <f t="shared" ref="AY30:AY31" si="63">AV30+AW30-AX30</f>
        <v>#REF!</v>
      </c>
      <c r="AZ30" s="66">
        <v>0</v>
      </c>
      <c r="BA30" s="38">
        <v>0</v>
      </c>
      <c r="BB30" s="39" t="e">
        <f t="shared" ref="BB30:BB31" si="64">AY30+AZ30-BA30</f>
        <v>#REF!</v>
      </c>
      <c r="BC30" s="66">
        <v>0</v>
      </c>
      <c r="BD30" s="38">
        <v>0</v>
      </c>
      <c r="BE30" s="39" t="e">
        <f t="shared" ref="BE30:BE31" si="65">BB30+BC30-BD30</f>
        <v>#REF!</v>
      </c>
      <c r="BF30" s="66">
        <v>0</v>
      </c>
      <c r="BG30" s="38">
        <v>0</v>
      </c>
      <c r="BH30" s="39" t="e">
        <f t="shared" ref="BH30:BH31" si="66">BE30+BF30-BG30</f>
        <v>#REF!</v>
      </c>
      <c r="BI30" s="66">
        <v>0</v>
      </c>
      <c r="BJ30" s="38">
        <v>0</v>
      </c>
      <c r="BK30" s="39" t="e">
        <f t="shared" ref="BK30:BK31" si="67">BH30+BI30-BJ30</f>
        <v>#REF!</v>
      </c>
      <c r="BL30" s="66">
        <v>0</v>
      </c>
      <c r="BM30" s="38">
        <v>0</v>
      </c>
      <c r="BN30" s="39" t="e">
        <f t="shared" ref="BN30:BN31" si="68">BK30+BL30-BM30</f>
        <v>#REF!</v>
      </c>
      <c r="BO30" s="66">
        <v>0</v>
      </c>
      <c r="BP30" s="38">
        <v>0</v>
      </c>
      <c r="BQ30" s="39" t="e">
        <f t="shared" ref="BQ30:BQ31" si="69">BN30+BO30-BP30</f>
        <v>#REF!</v>
      </c>
      <c r="BR30" s="70">
        <v>0</v>
      </c>
      <c r="BS30" s="41" t="e">
        <f>P30+S30+V30+Y30+AB30+AE30+AH30+AK30+AN30+AR30+AU30++AX30+BA30+BD30+BG30+BJ30+BM30+BP30</f>
        <v>#REF!</v>
      </c>
      <c r="BT30" s="4"/>
      <c r="BU30" s="4"/>
      <c r="BV30" s="4"/>
      <c r="BW30" s="4"/>
      <c r="BX30" s="4"/>
    </row>
    <row r="31" ht="15.75" customHeight="1" spans="1:76">
      <c r="A31" s="24"/>
      <c r="B31" s="27" t="s">
        <v>423</v>
      </c>
      <c r="C31" s="27" t="s">
        <v>414</v>
      </c>
      <c r="D31" s="6" t="s">
        <v>424</v>
      </c>
      <c r="E31" s="2"/>
      <c r="F31" s="2"/>
      <c r="G31" s="2"/>
      <c r="H31" s="2"/>
      <c r="I31" s="7"/>
      <c r="J31" s="24"/>
      <c r="K31" s="24"/>
      <c r="L31" s="24"/>
      <c r="M31" s="28"/>
      <c r="N31" s="43">
        <f t="shared" ref="N31:O31" si="70">SUM(N32:N37)</f>
        <v>56500000</v>
      </c>
      <c r="O31" s="43">
        <f t="shared" si="70"/>
        <v>56500000</v>
      </c>
      <c r="P31" s="38" t="e">
        <f>SUMIF(#REF!,$P$3&amp;B31,#REF!)</f>
        <v>#REF!</v>
      </c>
      <c r="Q31" s="39" t="e">
        <f t="shared" si="52"/>
        <v>#REF!</v>
      </c>
      <c r="R31" s="71">
        <v>0</v>
      </c>
      <c r="S31" s="38" t="e">
        <f>SUMIF(#REF!,$S$3&amp;B31,#REF!)</f>
        <v>#REF!</v>
      </c>
      <c r="T31" s="67" t="e">
        <f t="shared" si="53"/>
        <v>#REF!</v>
      </c>
      <c r="U31" s="71">
        <v>0</v>
      </c>
      <c r="V31" s="68" t="e">
        <f>#REF!+#REF!+SUM(#REF!)</f>
        <v>#REF!</v>
      </c>
      <c r="W31" s="72" t="e">
        <f t="shared" si="54"/>
        <v>#REF!</v>
      </c>
      <c r="X31" s="71">
        <v>0</v>
      </c>
      <c r="Y31" s="68" t="e">
        <f>#REF!</f>
        <v>#REF!</v>
      </c>
      <c r="Z31" s="72" t="e">
        <f t="shared" si="55"/>
        <v>#REF!</v>
      </c>
      <c r="AA31" s="71">
        <v>0</v>
      </c>
      <c r="AB31" s="68">
        <v>0</v>
      </c>
      <c r="AC31" s="72" t="e">
        <f t="shared" si="56"/>
        <v>#REF!</v>
      </c>
      <c r="AD31" s="71">
        <v>0</v>
      </c>
      <c r="AE31" s="68">
        <v>0</v>
      </c>
      <c r="AF31" s="72" t="e">
        <f t="shared" si="57"/>
        <v>#REF!</v>
      </c>
      <c r="AG31" s="71">
        <v>0</v>
      </c>
      <c r="AH31" s="68">
        <v>0</v>
      </c>
      <c r="AI31" s="72" t="e">
        <f t="shared" si="58"/>
        <v>#REF!</v>
      </c>
      <c r="AJ31" s="71">
        <v>0</v>
      </c>
      <c r="AK31" s="68">
        <v>0</v>
      </c>
      <c r="AL31" s="72" t="e">
        <f t="shared" si="59"/>
        <v>#REF!</v>
      </c>
      <c r="AM31" s="71">
        <v>0</v>
      </c>
      <c r="AN31" s="68">
        <v>0</v>
      </c>
      <c r="AO31" s="72" t="e">
        <f t="shared" si="60"/>
        <v>#REF!</v>
      </c>
      <c r="AP31" s="43">
        <f>SUM(AP32:AP37)</f>
        <v>56500000</v>
      </c>
      <c r="AQ31" s="71">
        <v>0</v>
      </c>
      <c r="AR31" s="68">
        <v>0</v>
      </c>
      <c r="AS31" s="72" t="e">
        <f t="shared" si="61"/>
        <v>#REF!</v>
      </c>
      <c r="AT31" s="71">
        <v>0</v>
      </c>
      <c r="AU31" s="68">
        <v>0</v>
      </c>
      <c r="AV31" s="72" t="e">
        <f t="shared" si="62"/>
        <v>#REF!</v>
      </c>
      <c r="AW31" s="71">
        <v>0</v>
      </c>
      <c r="AX31" s="68">
        <v>0</v>
      </c>
      <c r="AY31" s="72" t="e">
        <f t="shared" si="63"/>
        <v>#REF!</v>
      </c>
      <c r="AZ31" s="71">
        <v>0</v>
      </c>
      <c r="BA31" s="68">
        <v>0</v>
      </c>
      <c r="BB31" s="72" t="e">
        <f t="shared" si="64"/>
        <v>#REF!</v>
      </c>
      <c r="BC31" s="71">
        <v>0</v>
      </c>
      <c r="BD31" s="68">
        <v>0</v>
      </c>
      <c r="BE31" s="72" t="e">
        <f t="shared" si="65"/>
        <v>#REF!</v>
      </c>
      <c r="BF31" s="71">
        <v>0</v>
      </c>
      <c r="BG31" s="68">
        <v>0</v>
      </c>
      <c r="BH31" s="72" t="e">
        <f t="shared" si="66"/>
        <v>#REF!</v>
      </c>
      <c r="BI31" s="71">
        <v>0</v>
      </c>
      <c r="BJ31" s="68">
        <v>0</v>
      </c>
      <c r="BK31" s="72" t="e">
        <f t="shared" si="67"/>
        <v>#REF!</v>
      </c>
      <c r="BL31" s="71">
        <v>0</v>
      </c>
      <c r="BM31" s="68">
        <v>0</v>
      </c>
      <c r="BN31" s="72" t="e">
        <f t="shared" si="68"/>
        <v>#REF!</v>
      </c>
      <c r="BO31" s="71">
        <v>0</v>
      </c>
      <c r="BP31" s="68">
        <v>0</v>
      </c>
      <c r="BQ31" s="72" t="e">
        <f t="shared" si="69"/>
        <v>#REF!</v>
      </c>
      <c r="BR31" s="73">
        <v>0</v>
      </c>
      <c r="BS31" s="71"/>
      <c r="BT31" s="4"/>
      <c r="BU31" s="4"/>
      <c r="BV31" s="4"/>
      <c r="BW31" s="4"/>
      <c r="BX31" s="4"/>
    </row>
    <row r="32" ht="15.75" customHeight="1" spans="1:76">
      <c r="A32" s="31">
        <v>4431</v>
      </c>
      <c r="B32" s="24"/>
      <c r="C32" s="27" t="s">
        <v>414</v>
      </c>
      <c r="D32" s="33" t="s">
        <v>425</v>
      </c>
      <c r="E32" s="2"/>
      <c r="F32" s="2"/>
      <c r="G32" s="2"/>
      <c r="H32" s="2"/>
      <c r="I32" s="7"/>
      <c r="J32" s="31">
        <v>2</v>
      </c>
      <c r="K32" s="31">
        <v>25</v>
      </c>
      <c r="L32" s="35" t="s">
        <v>426</v>
      </c>
      <c r="M32" s="36">
        <v>600000</v>
      </c>
      <c r="N32" s="36">
        <v>30000000</v>
      </c>
      <c r="O32" s="36">
        <v>30000000</v>
      </c>
      <c r="P32" s="36"/>
      <c r="Q32" s="36"/>
      <c r="R32" s="66" t="s">
        <v>427</v>
      </c>
      <c r="S32" s="66"/>
      <c r="T32" s="66"/>
      <c r="U32" s="66" t="s">
        <v>427</v>
      </c>
      <c r="V32" s="66"/>
      <c r="W32" s="66"/>
      <c r="X32" s="66" t="s">
        <v>427</v>
      </c>
      <c r="Y32" s="66"/>
      <c r="Z32" s="66"/>
      <c r="AA32" s="66" t="s">
        <v>427</v>
      </c>
      <c r="AB32" s="66"/>
      <c r="AC32" s="66"/>
      <c r="AD32" s="66" t="s">
        <v>427</v>
      </c>
      <c r="AE32" s="66"/>
      <c r="AF32" s="66"/>
      <c r="AG32" s="66" t="s">
        <v>427</v>
      </c>
      <c r="AH32" s="66"/>
      <c r="AI32" s="66"/>
      <c r="AJ32" s="66" t="s">
        <v>427</v>
      </c>
      <c r="AK32" s="66"/>
      <c r="AL32" s="66"/>
      <c r="AM32" s="66" t="s">
        <v>427</v>
      </c>
      <c r="AN32" s="66"/>
      <c r="AO32" s="66"/>
      <c r="AP32" s="36">
        <v>30000000</v>
      </c>
      <c r="AQ32" s="66" t="s">
        <v>427</v>
      </c>
      <c r="AR32" s="66"/>
      <c r="AS32" s="66"/>
      <c r="AT32" s="66" t="s">
        <v>427</v>
      </c>
      <c r="AU32" s="66"/>
      <c r="AV32" s="66"/>
      <c r="AW32" s="66" t="s">
        <v>427</v>
      </c>
      <c r="AX32" s="66"/>
      <c r="AY32" s="66"/>
      <c r="AZ32" s="66" t="s">
        <v>427</v>
      </c>
      <c r="BA32" s="66"/>
      <c r="BB32" s="66"/>
      <c r="BC32" s="66" t="s">
        <v>427</v>
      </c>
      <c r="BD32" s="66"/>
      <c r="BE32" s="66"/>
      <c r="BF32" s="66" t="s">
        <v>427</v>
      </c>
      <c r="BG32" s="66"/>
      <c r="BH32" s="66"/>
      <c r="BI32" s="66" t="s">
        <v>427</v>
      </c>
      <c r="BJ32" s="66"/>
      <c r="BK32" s="66"/>
      <c r="BL32" s="66" t="s">
        <v>427</v>
      </c>
      <c r="BM32" s="66"/>
      <c r="BN32" s="66"/>
      <c r="BO32" s="66" t="s">
        <v>427</v>
      </c>
      <c r="BP32" s="66"/>
      <c r="BQ32" s="66"/>
      <c r="BR32" s="70" t="s">
        <v>427</v>
      </c>
      <c r="BS32" s="66"/>
      <c r="BT32" s="4"/>
      <c r="BU32" s="4"/>
      <c r="BV32" s="4"/>
      <c r="BW32" s="4"/>
      <c r="BX32" s="4"/>
    </row>
    <row r="33" ht="15.75" customHeight="1" spans="1:76">
      <c r="A33" s="31">
        <v>4431</v>
      </c>
      <c r="B33" s="24"/>
      <c r="C33" s="27" t="s">
        <v>414</v>
      </c>
      <c r="D33" s="33" t="s">
        <v>428</v>
      </c>
      <c r="E33" s="2"/>
      <c r="F33" s="2"/>
      <c r="G33" s="2"/>
      <c r="H33" s="2"/>
      <c r="I33" s="7"/>
      <c r="J33" s="31">
        <v>2</v>
      </c>
      <c r="K33" s="31">
        <v>25</v>
      </c>
      <c r="L33" s="35" t="s">
        <v>426</v>
      </c>
      <c r="M33" s="36">
        <v>120000</v>
      </c>
      <c r="N33" s="36">
        <v>6000000</v>
      </c>
      <c r="O33" s="36">
        <v>6000000</v>
      </c>
      <c r="P33" s="36"/>
      <c r="Q33" s="36"/>
      <c r="R33" s="66" t="s">
        <v>427</v>
      </c>
      <c r="S33" s="66"/>
      <c r="T33" s="66"/>
      <c r="U33" s="66" t="s">
        <v>427</v>
      </c>
      <c r="V33" s="66"/>
      <c r="W33" s="66"/>
      <c r="X33" s="66" t="s">
        <v>427</v>
      </c>
      <c r="Y33" s="66"/>
      <c r="Z33" s="66"/>
      <c r="AA33" s="66" t="s">
        <v>427</v>
      </c>
      <c r="AB33" s="66"/>
      <c r="AC33" s="66"/>
      <c r="AD33" s="66" t="s">
        <v>427</v>
      </c>
      <c r="AE33" s="66"/>
      <c r="AF33" s="66"/>
      <c r="AG33" s="66" t="s">
        <v>427</v>
      </c>
      <c r="AH33" s="66"/>
      <c r="AI33" s="66"/>
      <c r="AJ33" s="66" t="s">
        <v>427</v>
      </c>
      <c r="AK33" s="66"/>
      <c r="AL33" s="66"/>
      <c r="AM33" s="66" t="s">
        <v>427</v>
      </c>
      <c r="AN33" s="66"/>
      <c r="AO33" s="66"/>
      <c r="AP33" s="36">
        <v>6000000</v>
      </c>
      <c r="AQ33" s="66" t="s">
        <v>427</v>
      </c>
      <c r="AR33" s="66"/>
      <c r="AS33" s="66"/>
      <c r="AT33" s="66" t="s">
        <v>427</v>
      </c>
      <c r="AU33" s="66"/>
      <c r="AV33" s="66"/>
      <c r="AW33" s="66" t="s">
        <v>427</v>
      </c>
      <c r="AX33" s="66"/>
      <c r="AY33" s="66"/>
      <c r="AZ33" s="66" t="s">
        <v>427</v>
      </c>
      <c r="BA33" s="66"/>
      <c r="BB33" s="66"/>
      <c r="BC33" s="66" t="s">
        <v>427</v>
      </c>
      <c r="BD33" s="66"/>
      <c r="BE33" s="66"/>
      <c r="BF33" s="66" t="s">
        <v>427</v>
      </c>
      <c r="BG33" s="66"/>
      <c r="BH33" s="66"/>
      <c r="BI33" s="66" t="s">
        <v>427</v>
      </c>
      <c r="BJ33" s="66"/>
      <c r="BK33" s="66"/>
      <c r="BL33" s="66" t="s">
        <v>427</v>
      </c>
      <c r="BM33" s="66"/>
      <c r="BN33" s="66"/>
      <c r="BO33" s="66" t="s">
        <v>427</v>
      </c>
      <c r="BP33" s="66"/>
      <c r="BQ33" s="66"/>
      <c r="BR33" s="70" t="s">
        <v>427</v>
      </c>
      <c r="BS33" s="66"/>
      <c r="BT33" s="4"/>
      <c r="BU33" s="4"/>
      <c r="BV33" s="4"/>
      <c r="BW33" s="4"/>
      <c r="BX33" s="4"/>
    </row>
    <row r="34" ht="15.75" customHeight="1" spans="1:76">
      <c r="A34" s="31">
        <v>4431</v>
      </c>
      <c r="B34" s="24"/>
      <c r="C34" s="27" t="s">
        <v>414</v>
      </c>
      <c r="D34" s="33" t="s">
        <v>429</v>
      </c>
      <c r="E34" s="2"/>
      <c r="F34" s="2"/>
      <c r="G34" s="2"/>
      <c r="H34" s="2"/>
      <c r="I34" s="7"/>
      <c r="J34" s="31">
        <v>2</v>
      </c>
      <c r="K34" s="31">
        <v>25</v>
      </c>
      <c r="L34" s="35" t="s">
        <v>426</v>
      </c>
      <c r="M34" s="36">
        <v>50000</v>
      </c>
      <c r="N34" s="36">
        <v>2500000</v>
      </c>
      <c r="O34" s="36">
        <v>2500000</v>
      </c>
      <c r="P34" s="36"/>
      <c r="Q34" s="36"/>
      <c r="R34" s="66" t="s">
        <v>427</v>
      </c>
      <c r="S34" s="66"/>
      <c r="T34" s="66"/>
      <c r="U34" s="66" t="s">
        <v>427</v>
      </c>
      <c r="V34" s="66"/>
      <c r="W34" s="66"/>
      <c r="X34" s="66" t="s">
        <v>427</v>
      </c>
      <c r="Y34" s="66"/>
      <c r="Z34" s="66"/>
      <c r="AA34" s="66" t="s">
        <v>427</v>
      </c>
      <c r="AB34" s="66"/>
      <c r="AC34" s="66"/>
      <c r="AD34" s="66" t="s">
        <v>427</v>
      </c>
      <c r="AE34" s="66"/>
      <c r="AF34" s="66"/>
      <c r="AG34" s="66" t="s">
        <v>427</v>
      </c>
      <c r="AH34" s="66"/>
      <c r="AI34" s="66"/>
      <c r="AJ34" s="66" t="s">
        <v>427</v>
      </c>
      <c r="AK34" s="66"/>
      <c r="AL34" s="66"/>
      <c r="AM34" s="66" t="s">
        <v>427</v>
      </c>
      <c r="AN34" s="66"/>
      <c r="AO34" s="66"/>
      <c r="AP34" s="36">
        <v>2500000</v>
      </c>
      <c r="AQ34" s="66" t="s">
        <v>427</v>
      </c>
      <c r="AR34" s="66"/>
      <c r="AS34" s="66"/>
      <c r="AT34" s="66" t="s">
        <v>427</v>
      </c>
      <c r="AU34" s="66"/>
      <c r="AV34" s="66"/>
      <c r="AW34" s="66" t="s">
        <v>427</v>
      </c>
      <c r="AX34" s="66"/>
      <c r="AY34" s="66"/>
      <c r="AZ34" s="66" t="s">
        <v>427</v>
      </c>
      <c r="BA34" s="66"/>
      <c r="BB34" s="66"/>
      <c r="BC34" s="66" t="s">
        <v>427</v>
      </c>
      <c r="BD34" s="66"/>
      <c r="BE34" s="66"/>
      <c r="BF34" s="66" t="s">
        <v>427</v>
      </c>
      <c r="BG34" s="66"/>
      <c r="BH34" s="66"/>
      <c r="BI34" s="66" t="s">
        <v>427</v>
      </c>
      <c r="BJ34" s="66"/>
      <c r="BK34" s="66"/>
      <c r="BL34" s="66" t="s">
        <v>427</v>
      </c>
      <c r="BM34" s="66"/>
      <c r="BN34" s="66"/>
      <c r="BO34" s="66" t="s">
        <v>427</v>
      </c>
      <c r="BP34" s="66"/>
      <c r="BQ34" s="66"/>
      <c r="BR34" s="70" t="s">
        <v>427</v>
      </c>
      <c r="BS34" s="66"/>
      <c r="BT34" s="4"/>
      <c r="BU34" s="4"/>
      <c r="BV34" s="4"/>
      <c r="BW34" s="4"/>
      <c r="BX34" s="4"/>
    </row>
    <row r="35" ht="15.75" customHeight="1" spans="1:76">
      <c r="A35" s="31">
        <v>4431</v>
      </c>
      <c r="B35" s="24"/>
      <c r="C35" s="27" t="s">
        <v>414</v>
      </c>
      <c r="D35" s="33" t="s">
        <v>430</v>
      </c>
      <c r="E35" s="2"/>
      <c r="F35" s="2"/>
      <c r="G35" s="2"/>
      <c r="H35" s="2"/>
      <c r="I35" s="7"/>
      <c r="J35" s="31">
        <v>2</v>
      </c>
      <c r="K35" s="31">
        <v>25</v>
      </c>
      <c r="L35" s="35" t="s">
        <v>426</v>
      </c>
      <c r="M35" s="36">
        <v>50000</v>
      </c>
      <c r="N35" s="36">
        <v>2500000</v>
      </c>
      <c r="O35" s="36">
        <v>2500000</v>
      </c>
      <c r="P35" s="36"/>
      <c r="Q35" s="36"/>
      <c r="R35" s="66" t="s">
        <v>427</v>
      </c>
      <c r="S35" s="66"/>
      <c r="T35" s="66"/>
      <c r="U35" s="66" t="s">
        <v>427</v>
      </c>
      <c r="V35" s="66"/>
      <c r="W35" s="66"/>
      <c r="X35" s="66" t="s">
        <v>427</v>
      </c>
      <c r="Y35" s="66"/>
      <c r="Z35" s="66"/>
      <c r="AA35" s="66" t="s">
        <v>427</v>
      </c>
      <c r="AB35" s="66"/>
      <c r="AC35" s="66"/>
      <c r="AD35" s="66" t="s">
        <v>427</v>
      </c>
      <c r="AE35" s="66"/>
      <c r="AF35" s="66"/>
      <c r="AG35" s="66" t="s">
        <v>427</v>
      </c>
      <c r="AH35" s="66"/>
      <c r="AI35" s="66"/>
      <c r="AJ35" s="66" t="s">
        <v>427</v>
      </c>
      <c r="AK35" s="66"/>
      <c r="AL35" s="66"/>
      <c r="AM35" s="66" t="s">
        <v>427</v>
      </c>
      <c r="AN35" s="66"/>
      <c r="AO35" s="66"/>
      <c r="AP35" s="36">
        <v>2500000</v>
      </c>
      <c r="AQ35" s="66" t="s">
        <v>427</v>
      </c>
      <c r="AR35" s="66"/>
      <c r="AS35" s="66"/>
      <c r="AT35" s="66" t="s">
        <v>427</v>
      </c>
      <c r="AU35" s="66"/>
      <c r="AV35" s="66"/>
      <c r="AW35" s="66" t="s">
        <v>427</v>
      </c>
      <c r="AX35" s="66"/>
      <c r="AY35" s="66"/>
      <c r="AZ35" s="66" t="s">
        <v>427</v>
      </c>
      <c r="BA35" s="66"/>
      <c r="BB35" s="66"/>
      <c r="BC35" s="66" t="s">
        <v>427</v>
      </c>
      <c r="BD35" s="66"/>
      <c r="BE35" s="66"/>
      <c r="BF35" s="66" t="s">
        <v>427</v>
      </c>
      <c r="BG35" s="66"/>
      <c r="BH35" s="66"/>
      <c r="BI35" s="66" t="s">
        <v>427</v>
      </c>
      <c r="BJ35" s="66"/>
      <c r="BK35" s="66"/>
      <c r="BL35" s="66" t="s">
        <v>427</v>
      </c>
      <c r="BM35" s="66"/>
      <c r="BN35" s="66"/>
      <c r="BO35" s="66" t="s">
        <v>427</v>
      </c>
      <c r="BP35" s="66"/>
      <c r="BQ35" s="66"/>
      <c r="BR35" s="70" t="s">
        <v>427</v>
      </c>
      <c r="BS35" s="66"/>
      <c r="BT35" s="4"/>
      <c r="BU35" s="4"/>
      <c r="BV35" s="4"/>
      <c r="BW35" s="4"/>
      <c r="BX35" s="4"/>
    </row>
    <row r="36" ht="15.75" customHeight="1" spans="1:76">
      <c r="A36" s="31">
        <v>4431</v>
      </c>
      <c r="B36" s="24"/>
      <c r="C36" s="27" t="s">
        <v>414</v>
      </c>
      <c r="D36" s="33" t="s">
        <v>431</v>
      </c>
      <c r="E36" s="2"/>
      <c r="F36" s="2"/>
      <c r="G36" s="2"/>
      <c r="H36" s="2"/>
      <c r="I36" s="7"/>
      <c r="J36" s="31">
        <v>2</v>
      </c>
      <c r="K36" s="31">
        <v>25</v>
      </c>
      <c r="L36" s="35" t="s">
        <v>426</v>
      </c>
      <c r="M36" s="36">
        <v>280000</v>
      </c>
      <c r="N36" s="36">
        <v>14000000</v>
      </c>
      <c r="O36" s="36">
        <v>14000000</v>
      </c>
      <c r="P36" s="36"/>
      <c r="Q36" s="36"/>
      <c r="R36" s="66" t="s">
        <v>427</v>
      </c>
      <c r="S36" s="66"/>
      <c r="T36" s="66"/>
      <c r="U36" s="66" t="s">
        <v>427</v>
      </c>
      <c r="V36" s="66"/>
      <c r="W36" s="66"/>
      <c r="X36" s="66" t="s">
        <v>427</v>
      </c>
      <c r="Y36" s="66"/>
      <c r="Z36" s="66"/>
      <c r="AA36" s="66" t="s">
        <v>427</v>
      </c>
      <c r="AB36" s="66"/>
      <c r="AC36" s="66"/>
      <c r="AD36" s="66" t="s">
        <v>427</v>
      </c>
      <c r="AE36" s="66"/>
      <c r="AF36" s="66"/>
      <c r="AG36" s="66" t="s">
        <v>427</v>
      </c>
      <c r="AH36" s="66"/>
      <c r="AI36" s="66"/>
      <c r="AJ36" s="66" t="s">
        <v>427</v>
      </c>
      <c r="AK36" s="66"/>
      <c r="AL36" s="66"/>
      <c r="AM36" s="66" t="s">
        <v>427</v>
      </c>
      <c r="AN36" s="66"/>
      <c r="AO36" s="66"/>
      <c r="AP36" s="36">
        <v>14000000</v>
      </c>
      <c r="AQ36" s="66" t="s">
        <v>427</v>
      </c>
      <c r="AR36" s="66"/>
      <c r="AS36" s="66"/>
      <c r="AT36" s="66" t="s">
        <v>427</v>
      </c>
      <c r="AU36" s="66"/>
      <c r="AV36" s="66"/>
      <c r="AW36" s="66" t="s">
        <v>427</v>
      </c>
      <c r="AX36" s="66"/>
      <c r="AY36" s="66"/>
      <c r="AZ36" s="66" t="s">
        <v>427</v>
      </c>
      <c r="BA36" s="74" t="e">
        <f>#REF!</f>
        <v>#REF!</v>
      </c>
      <c r="BB36" s="66"/>
      <c r="BC36" s="66" t="s">
        <v>427</v>
      </c>
      <c r="BD36" s="66"/>
      <c r="BE36" s="66"/>
      <c r="BF36" s="66" t="s">
        <v>427</v>
      </c>
      <c r="BG36" s="66"/>
      <c r="BH36" s="66"/>
      <c r="BI36" s="66" t="s">
        <v>427</v>
      </c>
      <c r="BJ36" s="66"/>
      <c r="BK36" s="66"/>
      <c r="BL36" s="66" t="s">
        <v>427</v>
      </c>
      <c r="BM36" s="66"/>
      <c r="BN36" s="66"/>
      <c r="BO36" s="66" t="s">
        <v>427</v>
      </c>
      <c r="BP36" s="66"/>
      <c r="BQ36" s="66"/>
      <c r="BR36" s="70" t="s">
        <v>427</v>
      </c>
      <c r="BS36" s="66"/>
      <c r="BT36" s="4"/>
      <c r="BU36" s="4"/>
      <c r="BV36" s="4"/>
      <c r="BW36" s="4"/>
      <c r="BX36" s="4"/>
    </row>
    <row r="37" ht="15.75" customHeight="1" spans="1:76">
      <c r="A37" s="31">
        <v>4431</v>
      </c>
      <c r="B37" s="24"/>
      <c r="C37" s="27" t="s">
        <v>414</v>
      </c>
      <c r="D37" s="33" t="s">
        <v>432</v>
      </c>
      <c r="E37" s="2"/>
      <c r="F37" s="2"/>
      <c r="G37" s="2"/>
      <c r="H37" s="2"/>
      <c r="I37" s="7"/>
      <c r="J37" s="31">
        <v>2</v>
      </c>
      <c r="K37" s="31">
        <v>25</v>
      </c>
      <c r="L37" s="35" t="s">
        <v>426</v>
      </c>
      <c r="M37" s="36">
        <v>30000</v>
      </c>
      <c r="N37" s="36">
        <v>1500000</v>
      </c>
      <c r="O37" s="36">
        <v>1500000</v>
      </c>
      <c r="P37" s="36"/>
      <c r="Q37" s="36"/>
      <c r="R37" s="66" t="s">
        <v>427</v>
      </c>
      <c r="S37" s="66"/>
      <c r="T37" s="66"/>
      <c r="U37" s="66" t="s">
        <v>427</v>
      </c>
      <c r="V37" s="66"/>
      <c r="W37" s="66"/>
      <c r="X37" s="66" t="s">
        <v>427</v>
      </c>
      <c r="Y37" s="66"/>
      <c r="Z37" s="66"/>
      <c r="AA37" s="66" t="s">
        <v>427</v>
      </c>
      <c r="AB37" s="66"/>
      <c r="AC37" s="66"/>
      <c r="AD37" s="66" t="s">
        <v>427</v>
      </c>
      <c r="AE37" s="66"/>
      <c r="AF37" s="66"/>
      <c r="AG37" s="66" t="s">
        <v>427</v>
      </c>
      <c r="AH37" s="66"/>
      <c r="AI37" s="66"/>
      <c r="AJ37" s="66" t="s">
        <v>427</v>
      </c>
      <c r="AK37" s="66"/>
      <c r="AL37" s="66"/>
      <c r="AM37" s="66" t="s">
        <v>427</v>
      </c>
      <c r="AN37" s="66"/>
      <c r="AO37" s="66"/>
      <c r="AP37" s="36">
        <v>1500000</v>
      </c>
      <c r="AQ37" s="66" t="s">
        <v>427</v>
      </c>
      <c r="AR37" s="66"/>
      <c r="AS37" s="66"/>
      <c r="AT37" s="66" t="s">
        <v>427</v>
      </c>
      <c r="AU37" s="66"/>
      <c r="AV37" s="66"/>
      <c r="AW37" s="66" t="s">
        <v>427</v>
      </c>
      <c r="AX37" s="66"/>
      <c r="AY37" s="66"/>
      <c r="AZ37" s="66" t="s">
        <v>427</v>
      </c>
      <c r="BA37" s="66"/>
      <c r="BB37" s="66"/>
      <c r="BC37" s="66" t="s">
        <v>427</v>
      </c>
      <c r="BD37" s="66"/>
      <c r="BE37" s="66"/>
      <c r="BF37" s="66" t="s">
        <v>427</v>
      </c>
      <c r="BG37" s="66"/>
      <c r="BH37" s="66"/>
      <c r="BI37" s="66" t="s">
        <v>427</v>
      </c>
      <c r="BJ37" s="66"/>
      <c r="BK37" s="66"/>
      <c r="BL37" s="66" t="s">
        <v>427</v>
      </c>
      <c r="BM37" s="66"/>
      <c r="BN37" s="66"/>
      <c r="BO37" s="66" t="s">
        <v>427</v>
      </c>
      <c r="BP37" s="66"/>
      <c r="BQ37" s="66"/>
      <c r="BR37" s="70" t="s">
        <v>427</v>
      </c>
      <c r="BS37" s="66"/>
      <c r="BT37" s="4"/>
      <c r="BU37" s="4"/>
      <c r="BV37" s="4"/>
      <c r="BW37" s="4"/>
      <c r="BX37" s="4"/>
    </row>
    <row r="38" ht="15.75" customHeight="1" spans="1:76">
      <c r="A38" s="24"/>
      <c r="B38" s="27" t="s">
        <v>433</v>
      </c>
      <c r="C38" s="27" t="s">
        <v>414</v>
      </c>
      <c r="D38" s="6" t="s">
        <v>434</v>
      </c>
      <c r="E38" s="2"/>
      <c r="F38" s="2"/>
      <c r="G38" s="2"/>
      <c r="H38" s="2"/>
      <c r="I38" s="7"/>
      <c r="J38" s="24"/>
      <c r="K38" s="24"/>
      <c r="L38" s="24"/>
      <c r="M38" s="28"/>
      <c r="N38" s="43">
        <f t="shared" ref="N38:O38" si="71">SUM(N39:N41)</f>
        <v>133328000</v>
      </c>
      <c r="O38" s="43">
        <f t="shared" si="71"/>
        <v>133328000</v>
      </c>
      <c r="P38" s="38" t="e">
        <f>SUMIF(#REF!,$P$3&amp;B38,#REF!)</f>
        <v>#REF!</v>
      </c>
      <c r="Q38" s="39" t="e">
        <f>O38-P38</f>
        <v>#REF!</v>
      </c>
      <c r="R38" s="71">
        <v>0</v>
      </c>
      <c r="S38" s="38" t="e">
        <f>SUMIF(#REF!,$S$3&amp;B38,#REF!)</f>
        <v>#REF!</v>
      </c>
      <c r="T38" s="67" t="e">
        <f>Q38+R38-S38</f>
        <v>#REF!</v>
      </c>
      <c r="U38" s="71">
        <v>0</v>
      </c>
      <c r="V38" s="68">
        <v>0</v>
      </c>
      <c r="W38" s="67" t="e">
        <f>T38+U38-V38</f>
        <v>#REF!</v>
      </c>
      <c r="X38" s="71">
        <v>0</v>
      </c>
      <c r="Y38" s="68" t="e">
        <f>#REF!</f>
        <v>#REF!</v>
      </c>
      <c r="Z38" s="67" t="e">
        <f>W38+X38-Y38</f>
        <v>#REF!</v>
      </c>
      <c r="AA38" s="71">
        <v>0</v>
      </c>
      <c r="AB38" s="68">
        <v>0</v>
      </c>
      <c r="AC38" s="67" t="e">
        <f>Z38+AA38-AB38</f>
        <v>#REF!</v>
      </c>
      <c r="AD38" s="71">
        <v>0</v>
      </c>
      <c r="AE38" s="68" t="e">
        <f>#REF!</f>
        <v>#REF!</v>
      </c>
      <c r="AF38" s="39" t="e">
        <f>AC38+AD38-AE38</f>
        <v>#REF!</v>
      </c>
      <c r="AG38" s="71">
        <v>0</v>
      </c>
      <c r="AH38" s="69" t="e">
        <f>#REF!+#REF!+#REF!+#REF!+#REF!</f>
        <v>#REF!</v>
      </c>
      <c r="AI38" s="39" t="e">
        <f>AF38+AG38-AH38</f>
        <v>#REF!</v>
      </c>
      <c r="AJ38" s="71">
        <v>0</v>
      </c>
      <c r="AK38" s="51">
        <v>0</v>
      </c>
      <c r="AL38" s="39" t="e">
        <f>AI38+AJ38-AK38</f>
        <v>#REF!</v>
      </c>
      <c r="AM38" s="71">
        <v>0</v>
      </c>
      <c r="AN38" s="51" t="e">
        <f>#REF!</f>
        <v>#REF!</v>
      </c>
      <c r="AO38" s="39" t="e">
        <f>AL38+AM38-AN38</f>
        <v>#REF!</v>
      </c>
      <c r="AP38" s="43">
        <f>SUM(AP39:AP41)</f>
        <v>133328000</v>
      </c>
      <c r="AQ38" s="71">
        <v>0</v>
      </c>
      <c r="AR38" s="51">
        <v>0</v>
      </c>
      <c r="AS38" s="39" t="e">
        <f>AO38+AQ38-AR38</f>
        <v>#REF!</v>
      </c>
      <c r="AT38" s="71">
        <v>0</v>
      </c>
      <c r="AU38" s="51">
        <v>0</v>
      </c>
      <c r="AV38" s="39" t="e">
        <f>AS38+AT38-AU38</f>
        <v>#REF!</v>
      </c>
      <c r="AW38" s="71">
        <v>0</v>
      </c>
      <c r="AX38" s="51">
        <v>0</v>
      </c>
      <c r="AY38" s="39" t="e">
        <f>AV38+AW38-AX38</f>
        <v>#REF!</v>
      </c>
      <c r="AZ38" s="71">
        <v>0</v>
      </c>
      <c r="BA38" s="51">
        <v>0</v>
      </c>
      <c r="BB38" s="39" t="e">
        <f>AY38+AZ38-BA38</f>
        <v>#REF!</v>
      </c>
      <c r="BC38" s="71">
        <v>0</v>
      </c>
      <c r="BD38" s="51">
        <v>0</v>
      </c>
      <c r="BE38" s="39" t="e">
        <f>BB38+BC38-BD38</f>
        <v>#REF!</v>
      </c>
      <c r="BF38" s="71">
        <v>0</v>
      </c>
      <c r="BG38" s="51">
        <v>0</v>
      </c>
      <c r="BH38" s="39" t="e">
        <f>BE38+BF38-BG38</f>
        <v>#REF!</v>
      </c>
      <c r="BI38" s="71">
        <v>0</v>
      </c>
      <c r="BJ38" s="51">
        <v>0</v>
      </c>
      <c r="BK38" s="39" t="e">
        <f>BH38+BI38-BJ38</f>
        <v>#REF!</v>
      </c>
      <c r="BL38" s="71">
        <v>0</v>
      </c>
      <c r="BM38" s="51">
        <v>0</v>
      </c>
      <c r="BN38" s="39" t="e">
        <f>BK38+BL38-BM38</f>
        <v>#REF!</v>
      </c>
      <c r="BO38" s="71">
        <v>0</v>
      </c>
      <c r="BP38" s="51">
        <v>0</v>
      </c>
      <c r="BQ38" s="39" t="e">
        <f>BN38+BO38-BP38</f>
        <v>#REF!</v>
      </c>
      <c r="BR38" s="73">
        <v>0</v>
      </c>
      <c r="BS38" s="41" t="e">
        <f>P38+S38+V38+Y38+AB38+AE38+AH38+AK38+AN38+AR38+AU38++AX38+BA38+BD38+BG38+BJ38+BM38+BP38</f>
        <v>#REF!</v>
      </c>
      <c r="BT38" s="4"/>
      <c r="BU38" s="4"/>
      <c r="BV38" s="4"/>
      <c r="BW38" s="4"/>
      <c r="BX38" s="4"/>
    </row>
    <row r="39" ht="15.75" customHeight="1" spans="1:76">
      <c r="A39" s="31">
        <v>4431</v>
      </c>
      <c r="B39" s="24"/>
      <c r="C39" s="27" t="s">
        <v>414</v>
      </c>
      <c r="D39" s="33" t="s">
        <v>435</v>
      </c>
      <c r="E39" s="2"/>
      <c r="F39" s="2"/>
      <c r="G39" s="2"/>
      <c r="H39" s="2"/>
      <c r="I39" s="7"/>
      <c r="J39" s="31">
        <v>1</v>
      </c>
      <c r="K39" s="31">
        <v>25</v>
      </c>
      <c r="L39" s="35" t="s">
        <v>426</v>
      </c>
      <c r="M39" s="36">
        <v>300000</v>
      </c>
      <c r="N39" s="36">
        <v>7500000</v>
      </c>
      <c r="O39" s="36">
        <v>7500000</v>
      </c>
      <c r="P39" s="36"/>
      <c r="Q39" s="36"/>
      <c r="R39" s="66" t="s">
        <v>427</v>
      </c>
      <c r="S39" s="66"/>
      <c r="T39" s="66"/>
      <c r="U39" s="66" t="s">
        <v>427</v>
      </c>
      <c r="V39" s="66"/>
      <c r="W39" s="66"/>
      <c r="X39" s="66" t="s">
        <v>427</v>
      </c>
      <c r="Y39" s="66"/>
      <c r="Z39" s="66"/>
      <c r="AA39" s="66" t="s">
        <v>427</v>
      </c>
      <c r="AB39" s="66"/>
      <c r="AC39" s="66"/>
      <c r="AD39" s="66" t="s">
        <v>427</v>
      </c>
      <c r="AE39" s="66"/>
      <c r="AF39" s="66"/>
      <c r="AG39" s="66" t="s">
        <v>427</v>
      </c>
      <c r="AH39" s="66"/>
      <c r="AI39" s="66"/>
      <c r="AJ39" s="66" t="s">
        <v>427</v>
      </c>
      <c r="AK39" s="66"/>
      <c r="AL39" s="66"/>
      <c r="AM39" s="66" t="s">
        <v>427</v>
      </c>
      <c r="AN39" s="66"/>
      <c r="AO39" s="66"/>
      <c r="AP39" s="36">
        <v>7500000</v>
      </c>
      <c r="AQ39" s="66" t="s">
        <v>427</v>
      </c>
      <c r="AR39" s="66"/>
      <c r="AS39" s="66"/>
      <c r="AT39" s="66" t="s">
        <v>427</v>
      </c>
      <c r="AU39" s="66"/>
      <c r="AV39" s="66"/>
      <c r="AW39" s="66" t="s">
        <v>427</v>
      </c>
      <c r="AX39" s="66"/>
      <c r="AY39" s="66"/>
      <c r="AZ39" s="66" t="s">
        <v>427</v>
      </c>
      <c r="BA39" s="66"/>
      <c r="BB39" s="66"/>
      <c r="BC39" s="66" t="s">
        <v>427</v>
      </c>
      <c r="BD39" s="66"/>
      <c r="BE39" s="66"/>
      <c r="BF39" s="66" t="s">
        <v>427</v>
      </c>
      <c r="BG39" s="66"/>
      <c r="BH39" s="66"/>
      <c r="BI39" s="66" t="s">
        <v>427</v>
      </c>
      <c r="BJ39" s="66"/>
      <c r="BK39" s="66"/>
      <c r="BL39" s="66" t="s">
        <v>427</v>
      </c>
      <c r="BM39" s="66"/>
      <c r="BN39" s="66"/>
      <c r="BO39" s="66" t="s">
        <v>427</v>
      </c>
      <c r="BP39" s="66"/>
      <c r="BQ39" s="66"/>
      <c r="BR39" s="70" t="s">
        <v>427</v>
      </c>
      <c r="BS39" s="66"/>
      <c r="BT39" s="4"/>
      <c r="BU39" s="4"/>
      <c r="BV39" s="4"/>
      <c r="BW39" s="4"/>
      <c r="BX39" s="4"/>
    </row>
    <row r="40" ht="15.75" customHeight="1" spans="1:76">
      <c r="A40" s="31">
        <v>4431</v>
      </c>
      <c r="B40" s="24"/>
      <c r="C40" s="27" t="s">
        <v>414</v>
      </c>
      <c r="D40" s="33" t="s">
        <v>436</v>
      </c>
      <c r="E40" s="2"/>
      <c r="F40" s="2"/>
      <c r="G40" s="2"/>
      <c r="H40" s="2"/>
      <c r="I40" s="7"/>
      <c r="J40" s="31">
        <v>2</v>
      </c>
      <c r="K40" s="31">
        <v>25</v>
      </c>
      <c r="L40" s="35" t="s">
        <v>426</v>
      </c>
      <c r="M40" s="36">
        <v>20000</v>
      </c>
      <c r="N40" s="36">
        <v>1000000</v>
      </c>
      <c r="O40" s="36">
        <v>1000000</v>
      </c>
      <c r="P40" s="36"/>
      <c r="Q40" s="36"/>
      <c r="R40" s="66" t="s">
        <v>427</v>
      </c>
      <c r="S40" s="66"/>
      <c r="T40" s="66"/>
      <c r="U40" s="66" t="s">
        <v>427</v>
      </c>
      <c r="V40" s="66"/>
      <c r="W40" s="66"/>
      <c r="X40" s="66" t="s">
        <v>427</v>
      </c>
      <c r="Y40" s="66"/>
      <c r="Z40" s="66"/>
      <c r="AA40" s="66" t="s">
        <v>427</v>
      </c>
      <c r="AB40" s="66"/>
      <c r="AC40" s="66"/>
      <c r="AD40" s="66" t="s">
        <v>427</v>
      </c>
      <c r="AE40" s="66"/>
      <c r="AF40" s="66"/>
      <c r="AG40" s="66" t="s">
        <v>427</v>
      </c>
      <c r="AH40" s="66"/>
      <c r="AI40" s="66"/>
      <c r="AJ40" s="66" t="s">
        <v>427</v>
      </c>
      <c r="AK40" s="66"/>
      <c r="AL40" s="66"/>
      <c r="AM40" s="66" t="s">
        <v>427</v>
      </c>
      <c r="AN40" s="66"/>
      <c r="AO40" s="66"/>
      <c r="AP40" s="36">
        <v>1000000</v>
      </c>
      <c r="AQ40" s="66" t="s">
        <v>427</v>
      </c>
      <c r="AR40" s="66"/>
      <c r="AS40" s="66"/>
      <c r="AT40" s="66" t="s">
        <v>427</v>
      </c>
      <c r="AU40" s="66"/>
      <c r="AV40" s="66"/>
      <c r="AW40" s="66" t="s">
        <v>427</v>
      </c>
      <c r="AX40" s="66"/>
      <c r="AY40" s="66"/>
      <c r="AZ40" s="66" t="s">
        <v>427</v>
      </c>
      <c r="BA40" s="66"/>
      <c r="BB40" s="66"/>
      <c r="BC40" s="66" t="s">
        <v>427</v>
      </c>
      <c r="BD40" s="66"/>
      <c r="BE40" s="66"/>
      <c r="BF40" s="66" t="s">
        <v>427</v>
      </c>
      <c r="BG40" s="66"/>
      <c r="BH40" s="66"/>
      <c r="BI40" s="66" t="s">
        <v>427</v>
      </c>
      <c r="BJ40" s="66"/>
      <c r="BK40" s="66"/>
      <c r="BL40" s="66" t="s">
        <v>427</v>
      </c>
      <c r="BM40" s="66"/>
      <c r="BN40" s="66"/>
      <c r="BO40" s="66" t="s">
        <v>427</v>
      </c>
      <c r="BP40" s="66"/>
      <c r="BQ40" s="66"/>
      <c r="BR40" s="70" t="s">
        <v>427</v>
      </c>
      <c r="BS40" s="66"/>
      <c r="BT40" s="4"/>
      <c r="BU40" s="4"/>
      <c r="BV40" s="4"/>
      <c r="BW40" s="4"/>
      <c r="BX40" s="4"/>
    </row>
    <row r="41" ht="15.75" customHeight="1" spans="1:76">
      <c r="A41" s="31">
        <v>4431</v>
      </c>
      <c r="B41" s="24"/>
      <c r="C41" s="27" t="s">
        <v>414</v>
      </c>
      <c r="D41" s="6" t="s">
        <v>437</v>
      </c>
      <c r="E41" s="2"/>
      <c r="F41" s="2"/>
      <c r="G41" s="2"/>
      <c r="H41" s="2"/>
      <c r="I41" s="7"/>
      <c r="J41" s="31">
        <v>1</v>
      </c>
      <c r="K41" s="31">
        <v>1</v>
      </c>
      <c r="L41" s="35" t="s">
        <v>405</v>
      </c>
      <c r="M41" s="36">
        <v>21922000</v>
      </c>
      <c r="N41" s="36">
        <v>124828000</v>
      </c>
      <c r="O41" s="36">
        <v>124828000</v>
      </c>
      <c r="P41" s="36"/>
      <c r="Q41" s="36"/>
      <c r="R41" s="66" t="s">
        <v>427</v>
      </c>
      <c r="S41" s="66"/>
      <c r="T41" s="66"/>
      <c r="U41" s="66" t="s">
        <v>427</v>
      </c>
      <c r="V41" s="66"/>
      <c r="W41" s="66"/>
      <c r="X41" s="66" t="s">
        <v>427</v>
      </c>
      <c r="Y41" s="66"/>
      <c r="Z41" s="66"/>
      <c r="AA41" s="66" t="s">
        <v>427</v>
      </c>
      <c r="AB41" s="66"/>
      <c r="AC41" s="66"/>
      <c r="AD41" s="66" t="s">
        <v>427</v>
      </c>
      <c r="AE41" s="66"/>
      <c r="AF41" s="66"/>
      <c r="AG41" s="66" t="s">
        <v>427</v>
      </c>
      <c r="AH41" s="66"/>
      <c r="AI41" s="66"/>
      <c r="AJ41" s="66" t="s">
        <v>427</v>
      </c>
      <c r="AK41" s="66"/>
      <c r="AL41" s="66"/>
      <c r="AM41" s="66" t="s">
        <v>427</v>
      </c>
      <c r="AN41" s="66"/>
      <c r="AO41" s="66"/>
      <c r="AP41" s="36">
        <v>124828000</v>
      </c>
      <c r="AQ41" s="66" t="s">
        <v>427</v>
      </c>
      <c r="AR41" s="66"/>
      <c r="AS41" s="66"/>
      <c r="AT41" s="66" t="s">
        <v>427</v>
      </c>
      <c r="AU41" s="66"/>
      <c r="AV41" s="66"/>
      <c r="AW41" s="66" t="s">
        <v>427</v>
      </c>
      <c r="AX41" s="66"/>
      <c r="AY41" s="66"/>
      <c r="AZ41" s="66" t="s">
        <v>427</v>
      </c>
      <c r="BA41" s="66"/>
      <c r="BB41" s="66"/>
      <c r="BC41" s="66" t="s">
        <v>427</v>
      </c>
      <c r="BD41" s="66"/>
      <c r="BE41" s="66"/>
      <c r="BF41" s="66" t="s">
        <v>427</v>
      </c>
      <c r="BG41" s="66"/>
      <c r="BH41" s="66"/>
      <c r="BI41" s="66" t="s">
        <v>427</v>
      </c>
      <c r="BJ41" s="66"/>
      <c r="BK41" s="66"/>
      <c r="BL41" s="66" t="s">
        <v>427</v>
      </c>
      <c r="BM41" s="66"/>
      <c r="BN41" s="66"/>
      <c r="BO41" s="66" t="s">
        <v>427</v>
      </c>
      <c r="BP41" s="66"/>
      <c r="BQ41" s="66"/>
      <c r="BR41" s="70" t="s">
        <v>427</v>
      </c>
      <c r="BS41" s="66"/>
      <c r="BT41" s="4"/>
      <c r="BU41" s="4"/>
      <c r="BV41" s="4"/>
      <c r="BW41" s="4"/>
      <c r="BX41" s="4"/>
    </row>
    <row r="42" ht="15.75" customHeight="1" spans="1:76">
      <c r="A42" s="24"/>
      <c r="B42" s="47">
        <v>4.2</v>
      </c>
      <c r="C42" s="24"/>
      <c r="D42" s="26" t="s">
        <v>438</v>
      </c>
      <c r="E42" s="2"/>
      <c r="F42" s="2"/>
      <c r="G42" s="2"/>
      <c r="H42" s="2"/>
      <c r="I42" s="7"/>
      <c r="J42" s="24"/>
      <c r="K42" s="24"/>
      <c r="L42" s="24"/>
      <c r="M42" s="28"/>
      <c r="N42" s="29">
        <f t="shared" ref="N42:BR42" si="72">N43</f>
        <v>4195800000</v>
      </c>
      <c r="O42" s="29">
        <f t="shared" si="72"/>
        <v>1048950000</v>
      </c>
      <c r="P42" s="29" t="e">
        <f t="shared" si="72"/>
        <v>#REF!</v>
      </c>
      <c r="Q42" s="29" t="e">
        <f t="shared" si="72"/>
        <v>#REF!</v>
      </c>
      <c r="R42" s="29">
        <f t="shared" si="72"/>
        <v>1048950000</v>
      </c>
      <c r="S42" s="29" t="e">
        <f t="shared" si="72"/>
        <v>#REF!</v>
      </c>
      <c r="T42" s="29" t="e">
        <f t="shared" si="72"/>
        <v>#REF!</v>
      </c>
      <c r="U42" s="29">
        <f t="shared" si="72"/>
        <v>1048950000</v>
      </c>
      <c r="V42" s="29">
        <f t="shared" si="72"/>
        <v>0</v>
      </c>
      <c r="W42" s="29" t="e">
        <f t="shared" si="72"/>
        <v>#REF!</v>
      </c>
      <c r="X42" s="29">
        <f t="shared" si="72"/>
        <v>0</v>
      </c>
      <c r="Y42" s="29">
        <f t="shared" si="72"/>
        <v>0</v>
      </c>
      <c r="Z42" s="29" t="e">
        <f t="shared" si="72"/>
        <v>#REF!</v>
      </c>
      <c r="AA42" s="29">
        <f t="shared" si="72"/>
        <v>0</v>
      </c>
      <c r="AB42" s="29" t="e">
        <f t="shared" si="72"/>
        <v>#REF!</v>
      </c>
      <c r="AC42" s="29" t="e">
        <f t="shared" si="72"/>
        <v>#REF!</v>
      </c>
      <c r="AD42" s="29">
        <f t="shared" si="72"/>
        <v>0</v>
      </c>
      <c r="AE42" s="29" t="e">
        <f t="shared" si="72"/>
        <v>#REF!</v>
      </c>
      <c r="AF42" s="29" t="e">
        <f t="shared" si="72"/>
        <v>#REF!</v>
      </c>
      <c r="AG42" s="29">
        <f t="shared" si="72"/>
        <v>0</v>
      </c>
      <c r="AH42" s="29">
        <f t="shared" si="72"/>
        <v>0</v>
      </c>
      <c r="AI42" s="29" t="e">
        <f t="shared" si="72"/>
        <v>#REF!</v>
      </c>
      <c r="AJ42" s="29">
        <f t="shared" si="72"/>
        <v>0</v>
      </c>
      <c r="AK42" s="29" t="e">
        <f t="shared" si="72"/>
        <v>#REF!</v>
      </c>
      <c r="AL42" s="29" t="e">
        <f t="shared" si="72"/>
        <v>#REF!</v>
      </c>
      <c r="AM42" s="29">
        <f t="shared" si="72"/>
        <v>0</v>
      </c>
      <c r="AN42" s="29" t="e">
        <f t="shared" si="72"/>
        <v>#REF!</v>
      </c>
      <c r="AO42" s="29" t="e">
        <f t="shared" si="72"/>
        <v>#REF!</v>
      </c>
      <c r="AP42" s="29">
        <f t="shared" si="72"/>
        <v>3146850000</v>
      </c>
      <c r="AQ42" s="29">
        <f t="shared" si="72"/>
        <v>1048950000</v>
      </c>
      <c r="AR42" s="29" t="e">
        <f t="shared" si="72"/>
        <v>#REF!</v>
      </c>
      <c r="AS42" s="29" t="e">
        <f t="shared" si="72"/>
        <v>#REF!</v>
      </c>
      <c r="AT42" s="29">
        <f t="shared" si="72"/>
        <v>0</v>
      </c>
      <c r="AU42" s="29" t="e">
        <f t="shared" si="72"/>
        <v>#REF!</v>
      </c>
      <c r="AV42" s="29" t="e">
        <f t="shared" si="72"/>
        <v>#REF!</v>
      </c>
      <c r="AW42" s="29">
        <f t="shared" si="72"/>
        <v>0</v>
      </c>
      <c r="AX42" s="29" t="e">
        <f t="shared" si="72"/>
        <v>#REF!</v>
      </c>
      <c r="AY42" s="29" t="e">
        <f t="shared" si="72"/>
        <v>#REF!</v>
      </c>
      <c r="AZ42" s="29">
        <f t="shared" si="72"/>
        <v>0</v>
      </c>
      <c r="BA42" s="29">
        <f t="shared" si="72"/>
        <v>0</v>
      </c>
      <c r="BB42" s="29" t="e">
        <f t="shared" si="72"/>
        <v>#REF!</v>
      </c>
      <c r="BC42" s="29">
        <f t="shared" si="72"/>
        <v>0</v>
      </c>
      <c r="BD42" s="29" t="e">
        <f t="shared" si="72"/>
        <v>#REF!</v>
      </c>
      <c r="BE42" s="29" t="e">
        <f t="shared" si="72"/>
        <v>#REF!</v>
      </c>
      <c r="BF42" s="29">
        <f t="shared" si="72"/>
        <v>0</v>
      </c>
      <c r="BG42" s="29" t="e">
        <f t="shared" si="72"/>
        <v>#REF!</v>
      </c>
      <c r="BH42" s="29" t="e">
        <f t="shared" si="72"/>
        <v>#REF!</v>
      </c>
      <c r="BI42" s="29">
        <f t="shared" si="72"/>
        <v>0</v>
      </c>
      <c r="BJ42" s="29" t="e">
        <f t="shared" si="72"/>
        <v>#REF!</v>
      </c>
      <c r="BK42" s="29" t="e">
        <f t="shared" si="72"/>
        <v>#REF!</v>
      </c>
      <c r="BL42" s="29">
        <f t="shared" si="72"/>
        <v>0</v>
      </c>
      <c r="BM42" s="29" t="e">
        <f t="shared" si="72"/>
        <v>#REF!</v>
      </c>
      <c r="BN42" s="29" t="e">
        <f t="shared" si="72"/>
        <v>#REF!</v>
      </c>
      <c r="BO42" s="29">
        <f t="shared" si="72"/>
        <v>0</v>
      </c>
      <c r="BP42" s="29">
        <f t="shared" si="72"/>
        <v>0</v>
      </c>
      <c r="BQ42" s="29" t="e">
        <f t="shared" si="72"/>
        <v>#REF!</v>
      </c>
      <c r="BR42" s="30">
        <f t="shared" si="72"/>
        <v>1048950000</v>
      </c>
      <c r="BS42" s="29"/>
      <c r="BT42" s="4"/>
      <c r="BU42" s="4"/>
      <c r="BV42" s="4"/>
      <c r="BW42" s="4"/>
      <c r="BX42" s="4"/>
    </row>
    <row r="43" ht="15.75" customHeight="1" spans="1:76">
      <c r="A43" s="31">
        <v>4421</v>
      </c>
      <c r="B43" s="27" t="s">
        <v>439</v>
      </c>
      <c r="C43" s="27" t="s">
        <v>414</v>
      </c>
      <c r="D43" s="33" t="s">
        <v>440</v>
      </c>
      <c r="E43" s="2"/>
      <c r="F43" s="2"/>
      <c r="G43" s="2"/>
      <c r="H43" s="2"/>
      <c r="I43" s="7"/>
      <c r="J43" s="31">
        <v>2</v>
      </c>
      <c r="K43" s="31">
        <v>1</v>
      </c>
      <c r="L43" s="35" t="s">
        <v>416</v>
      </c>
      <c r="M43" s="36">
        <v>2097900000</v>
      </c>
      <c r="N43" s="36">
        <v>4195800000</v>
      </c>
      <c r="O43" s="36">
        <v>1048950000</v>
      </c>
      <c r="P43" s="38" t="e">
        <f>SUMIF(#REF!,$P$3&amp;B43,#REF!)</f>
        <v>#REF!</v>
      </c>
      <c r="Q43" s="39" t="e">
        <f>O43-P43</f>
        <v>#REF!</v>
      </c>
      <c r="R43" s="36">
        <v>1048950000</v>
      </c>
      <c r="S43" s="38" t="e">
        <f>SUMIF(#REF!,$S$3&amp;B43,#REF!)</f>
        <v>#REF!</v>
      </c>
      <c r="T43" s="67" t="e">
        <f>Q43+R43-S43</f>
        <v>#REF!</v>
      </c>
      <c r="U43" s="36">
        <v>1048950000</v>
      </c>
      <c r="V43" s="68">
        <v>0</v>
      </c>
      <c r="W43" s="67" t="e">
        <f>T43+U43-V43</f>
        <v>#REF!</v>
      </c>
      <c r="X43" s="66">
        <v>0</v>
      </c>
      <c r="Y43" s="68">
        <v>0</v>
      </c>
      <c r="Z43" s="67" t="e">
        <f>W43+X43-Y43</f>
        <v>#REF!</v>
      </c>
      <c r="AA43" s="66">
        <v>0</v>
      </c>
      <c r="AB43" s="68" t="e">
        <f>#REF!+#REF!</f>
        <v>#REF!</v>
      </c>
      <c r="AC43" s="67" t="e">
        <f>Z43+AA43-AB43</f>
        <v>#REF!</v>
      </c>
      <c r="AD43" s="66">
        <v>0</v>
      </c>
      <c r="AE43" s="68" t="e">
        <f>#REF!</f>
        <v>#REF!</v>
      </c>
      <c r="AF43" s="39" t="e">
        <f>AC43+AD43-AE43</f>
        <v>#REF!</v>
      </c>
      <c r="AG43" s="66">
        <v>0</v>
      </c>
      <c r="AH43" s="69">
        <v>0</v>
      </c>
      <c r="AI43" s="39" t="e">
        <f>AF43+AG43-AH43</f>
        <v>#REF!</v>
      </c>
      <c r="AJ43" s="66">
        <v>0</v>
      </c>
      <c r="AK43" s="51" t="e">
        <f>#REF!+#REF!</f>
        <v>#REF!</v>
      </c>
      <c r="AL43" s="39" t="e">
        <f>AI43+AJ43-AK43</f>
        <v>#REF!</v>
      </c>
      <c r="AM43" s="66">
        <v>0</v>
      </c>
      <c r="AN43" s="51" t="e">
        <f>#REF!+#REF!+#REF!+#REF!+#REF!</f>
        <v>#REF!</v>
      </c>
      <c r="AO43" s="39" t="e">
        <f>AL43+AM43-AN43</f>
        <v>#REF!</v>
      </c>
      <c r="AP43" s="36">
        <v>3146850000</v>
      </c>
      <c r="AQ43" s="36">
        <v>1048950000</v>
      </c>
      <c r="AR43" s="51" t="e">
        <f>#REF!+#REF!</f>
        <v>#REF!</v>
      </c>
      <c r="AS43" s="39" t="e">
        <f>AO43+AQ43-AR43</f>
        <v>#REF!</v>
      </c>
      <c r="AT43" s="66">
        <v>0</v>
      </c>
      <c r="AU43" s="51" t="e">
        <f>SUM(#REF!)</f>
        <v>#REF!</v>
      </c>
      <c r="AV43" s="39" t="e">
        <f>AS43+AT43-AU43</f>
        <v>#REF!</v>
      </c>
      <c r="AW43" s="66">
        <v>0</v>
      </c>
      <c r="AX43" s="51" t="e">
        <f>#REF!+#REF!+#REF!+#REF!</f>
        <v>#REF!</v>
      </c>
      <c r="AY43" s="39" t="e">
        <f>AV43+AW43-AX43</f>
        <v>#REF!</v>
      </c>
      <c r="AZ43" s="66">
        <v>0</v>
      </c>
      <c r="BA43" s="51"/>
      <c r="BB43" s="39" t="e">
        <f>AY43+AZ43-BA43</f>
        <v>#REF!</v>
      </c>
      <c r="BC43" s="66">
        <v>0</v>
      </c>
      <c r="BD43" s="51" t="e">
        <f>#REF!+#REF!+#REF!+#REF!+#REF!+#REF!+#REF!</f>
        <v>#REF!</v>
      </c>
      <c r="BE43" s="39" t="e">
        <f>BB43+BC43-BD43</f>
        <v>#REF!</v>
      </c>
      <c r="BF43" s="66">
        <v>0</v>
      </c>
      <c r="BG43" s="51" t="e">
        <f>SUM(#REF!)</f>
        <v>#REF!</v>
      </c>
      <c r="BH43" s="39" t="e">
        <f>BE43+BF43-BG43</f>
        <v>#REF!</v>
      </c>
      <c r="BI43" s="66">
        <v>0</v>
      </c>
      <c r="BJ43" s="51" t="e">
        <f>SUM(#REF!+#REF!+#REF!)</f>
        <v>#REF!</v>
      </c>
      <c r="BK43" s="39" t="e">
        <f>BH43+BI43-BJ43</f>
        <v>#REF!</v>
      </c>
      <c r="BL43" s="66">
        <v>0</v>
      </c>
      <c r="BM43" s="51" t="e">
        <f>#REF!</f>
        <v>#REF!</v>
      </c>
      <c r="BN43" s="39" t="e">
        <f>BK43+BL43-BM43</f>
        <v>#REF!</v>
      </c>
      <c r="BO43" s="66">
        <v>0</v>
      </c>
      <c r="BP43" s="51">
        <v>0</v>
      </c>
      <c r="BQ43" s="39" t="e">
        <f>BN43+BO43-BP43</f>
        <v>#REF!</v>
      </c>
      <c r="BR43" s="46">
        <v>1048950000</v>
      </c>
      <c r="BS43" s="41" t="e">
        <f>P43+S43+V43+Y43+AB43+AE43+AH43+AK43+AN43+AR43+AU43++AX43+BA43+BD43+BG43+BJ43+BM43+BP43</f>
        <v>#REF!</v>
      </c>
      <c r="BT43" s="4"/>
      <c r="BU43" s="4"/>
      <c r="BV43" s="4"/>
      <c r="BW43" s="4"/>
      <c r="BX43" s="4"/>
    </row>
    <row r="44" ht="15.75" customHeight="1" spans="1:76">
      <c r="A44" s="24"/>
      <c r="B44" s="25" t="s">
        <v>441</v>
      </c>
      <c r="C44" s="24"/>
      <c r="D44" s="26" t="s">
        <v>442</v>
      </c>
      <c r="E44" s="2"/>
      <c r="F44" s="2"/>
      <c r="G44" s="2"/>
      <c r="H44" s="2"/>
      <c r="I44" s="7"/>
      <c r="J44" s="24"/>
      <c r="K44" s="24"/>
      <c r="L44" s="24"/>
      <c r="M44" s="28"/>
      <c r="N44" s="29">
        <f t="shared" ref="N44:BA44" si="73">SUM(N45:N47)</f>
        <v>1285860000</v>
      </c>
      <c r="O44" s="29">
        <f t="shared" si="73"/>
        <v>297120000</v>
      </c>
      <c r="P44" s="29" t="e">
        <f t="shared" si="73"/>
        <v>#REF!</v>
      </c>
      <c r="Q44" s="29" t="e">
        <f t="shared" si="73"/>
        <v>#REF!</v>
      </c>
      <c r="R44" s="29">
        <f t="shared" si="73"/>
        <v>258120000</v>
      </c>
      <c r="S44" s="29" t="e">
        <f t="shared" si="73"/>
        <v>#REF!</v>
      </c>
      <c r="T44" s="29" t="e">
        <f t="shared" si="73"/>
        <v>#REF!</v>
      </c>
      <c r="U44" s="29">
        <f t="shared" si="73"/>
        <v>31500000</v>
      </c>
      <c r="V44" s="29" t="e">
        <f t="shared" si="73"/>
        <v>#REF!</v>
      </c>
      <c r="W44" s="29" t="e">
        <f t="shared" si="73"/>
        <v>#REF!</v>
      </c>
      <c r="X44" s="29">
        <f t="shared" si="73"/>
        <v>31500000</v>
      </c>
      <c r="Y44" s="29" t="e">
        <f t="shared" si="73"/>
        <v>#REF!</v>
      </c>
      <c r="Z44" s="29" t="e">
        <f t="shared" si="73"/>
        <v>#REF!</v>
      </c>
      <c r="AA44" s="29">
        <f t="shared" si="73"/>
        <v>31500000</v>
      </c>
      <c r="AB44" s="29" t="e">
        <f t="shared" si="73"/>
        <v>#REF!</v>
      </c>
      <c r="AC44" s="29" t="e">
        <f t="shared" si="73"/>
        <v>#REF!</v>
      </c>
      <c r="AD44" s="29">
        <f t="shared" si="73"/>
        <v>31500000</v>
      </c>
      <c r="AE44" s="29" t="e">
        <f t="shared" si="73"/>
        <v>#REF!</v>
      </c>
      <c r="AF44" s="29" t="e">
        <f t="shared" si="73"/>
        <v>#REF!</v>
      </c>
      <c r="AG44" s="29">
        <f t="shared" si="73"/>
        <v>31500000</v>
      </c>
      <c r="AH44" s="29" t="e">
        <f t="shared" si="73"/>
        <v>#REF!</v>
      </c>
      <c r="AI44" s="29" t="e">
        <f t="shared" si="73"/>
        <v>#REF!</v>
      </c>
      <c r="AJ44" s="29">
        <f t="shared" si="73"/>
        <v>31500000</v>
      </c>
      <c r="AK44" s="29">
        <f t="shared" si="73"/>
        <v>0</v>
      </c>
      <c r="AL44" s="29" t="e">
        <f t="shared" si="73"/>
        <v>#REF!</v>
      </c>
      <c r="AM44" s="29">
        <f t="shared" si="73"/>
        <v>31500000</v>
      </c>
      <c r="AN44" s="29" t="e">
        <f t="shared" si="73"/>
        <v>#REF!</v>
      </c>
      <c r="AO44" s="29" t="e">
        <f t="shared" si="73"/>
        <v>#REF!</v>
      </c>
      <c r="AP44" s="29">
        <f t="shared" si="73"/>
        <v>775740000</v>
      </c>
      <c r="AQ44" s="29">
        <f t="shared" si="73"/>
        <v>258120000</v>
      </c>
      <c r="AR44" s="29" t="e">
        <f t="shared" si="73"/>
        <v>#REF!</v>
      </c>
      <c r="AS44" s="29" t="e">
        <f t="shared" si="73"/>
        <v>#REF!</v>
      </c>
      <c r="AT44" s="29">
        <f t="shared" si="73"/>
        <v>31500000</v>
      </c>
      <c r="AU44" s="29" t="e">
        <f t="shared" si="73"/>
        <v>#REF!</v>
      </c>
      <c r="AV44" s="29" t="e">
        <f t="shared" si="73"/>
        <v>#REF!</v>
      </c>
      <c r="AW44" s="29">
        <f t="shared" si="73"/>
        <v>31500000</v>
      </c>
      <c r="AX44" s="29" t="e">
        <f t="shared" si="73"/>
        <v>#REF!</v>
      </c>
      <c r="AY44" s="29" t="e">
        <f t="shared" si="73"/>
        <v>#REF!</v>
      </c>
      <c r="AZ44" s="29">
        <f t="shared" si="73"/>
        <v>31500000</v>
      </c>
      <c r="BA44" s="29" t="e">
        <f t="shared" si="73"/>
        <v>#REF!</v>
      </c>
      <c r="BB44" s="29">
        <v>0</v>
      </c>
      <c r="BC44" s="29">
        <f t="shared" ref="BC44:BR44" si="74">SUM(BC45:BC47)</f>
        <v>31500000</v>
      </c>
      <c r="BD44" s="29" t="e">
        <f t="shared" si="74"/>
        <v>#REF!</v>
      </c>
      <c r="BE44" s="29" t="e">
        <f t="shared" si="74"/>
        <v>#REF!</v>
      </c>
      <c r="BF44" s="29">
        <f t="shared" si="74"/>
        <v>31500000</v>
      </c>
      <c r="BG44" s="29">
        <f t="shared" si="74"/>
        <v>0</v>
      </c>
      <c r="BH44" s="29" t="e">
        <f t="shared" si="74"/>
        <v>#REF!</v>
      </c>
      <c r="BI44" s="29">
        <f t="shared" si="74"/>
        <v>31500000</v>
      </c>
      <c r="BJ44" s="29" t="e">
        <f t="shared" si="74"/>
        <v>#REF!</v>
      </c>
      <c r="BK44" s="29" t="e">
        <f t="shared" si="74"/>
        <v>#REF!</v>
      </c>
      <c r="BL44" s="29">
        <f t="shared" si="74"/>
        <v>31500000</v>
      </c>
      <c r="BM44" s="29">
        <f t="shared" si="74"/>
        <v>0</v>
      </c>
      <c r="BN44" s="29" t="e">
        <f t="shared" si="74"/>
        <v>#REF!</v>
      </c>
      <c r="BO44" s="29">
        <f t="shared" si="74"/>
        <v>31500000</v>
      </c>
      <c r="BP44" s="29">
        <f t="shared" si="74"/>
        <v>0</v>
      </c>
      <c r="BQ44" s="29" t="e">
        <f t="shared" si="74"/>
        <v>#REF!</v>
      </c>
      <c r="BR44" s="30">
        <f t="shared" si="74"/>
        <v>510120000</v>
      </c>
      <c r="BS44" s="29"/>
      <c r="BT44" s="4"/>
      <c r="BU44" s="4"/>
      <c r="BV44" s="4"/>
      <c r="BW44" s="4"/>
      <c r="BX44" s="4"/>
    </row>
    <row r="45" ht="15.75" customHeight="1" spans="1:76">
      <c r="A45" s="31">
        <v>4432</v>
      </c>
      <c r="B45" s="27" t="s">
        <v>443</v>
      </c>
      <c r="C45" s="27" t="s">
        <v>414</v>
      </c>
      <c r="D45" s="33" t="s">
        <v>444</v>
      </c>
      <c r="E45" s="2"/>
      <c r="F45" s="2"/>
      <c r="G45" s="2"/>
      <c r="H45" s="2"/>
      <c r="I45" s="7"/>
      <c r="J45" s="31">
        <v>1</v>
      </c>
      <c r="K45" s="45">
        <v>1</v>
      </c>
      <c r="L45" s="35" t="s">
        <v>405</v>
      </c>
      <c r="M45" s="36">
        <v>360000</v>
      </c>
      <c r="N45" s="36">
        <v>679860000</v>
      </c>
      <c r="O45" s="36">
        <v>226620000</v>
      </c>
      <c r="P45" s="38" t="e">
        <f>SUMIF(#REF!,$P$3&amp;B45,#REF!)</f>
        <v>#REF!</v>
      </c>
      <c r="Q45" s="39" t="e">
        <f t="shared" ref="Q45:Q47" si="75">O45-P45</f>
        <v>#REF!</v>
      </c>
      <c r="R45" s="36">
        <v>226620000</v>
      </c>
      <c r="S45" s="38" t="e">
        <f>SUMIF(#REF!,$S$3&amp;B45,#REF!)</f>
        <v>#REF!</v>
      </c>
      <c r="T45" s="39" t="e">
        <f t="shared" ref="T45:T47" si="76">Q45+R45-S45</f>
        <v>#REF!</v>
      </c>
      <c r="U45" s="66">
        <v>0</v>
      </c>
      <c r="V45" s="68">
        <v>0</v>
      </c>
      <c r="W45" s="39" t="e">
        <f t="shared" ref="W45:W47" si="77">T45+U45-V45</f>
        <v>#REF!</v>
      </c>
      <c r="X45" s="66">
        <v>0</v>
      </c>
      <c r="Y45" s="68" t="e">
        <f>#REF!+#REF!+#REF!+#REF!+#REF!+#REF!+#REF!+#REF!+#REF!+#REF!</f>
        <v>#REF!</v>
      </c>
      <c r="Z45" s="67" t="e">
        <f t="shared" ref="Z45:Z47" si="78">W45+X45-Y45</f>
        <v>#REF!</v>
      </c>
      <c r="AA45" s="66">
        <v>0</v>
      </c>
      <c r="AB45" s="68" t="e">
        <f>#REF!+#REF!+#REF!+#REF!+#REF!+#REF!+#REF!+#REF!+#REF!+#REF!+#REF!+#REF!+#REF!</f>
        <v>#REF!</v>
      </c>
      <c r="AC45" s="67" t="e">
        <f t="shared" ref="AC45:AC47" si="79">Z45+AA45-AB45</f>
        <v>#REF!</v>
      </c>
      <c r="AD45" s="66">
        <v>0</v>
      </c>
      <c r="AE45" s="68" t="e">
        <f>#REF!+#REF!+#REF!+#REF!+#REF!+#REF!+#REF!+#REF!+#REF!+#REF!+#REF!+#REF!+#REF!+#REF!+#REF!+#REF!+#REF!+#REF!+#REF!+#REF!</f>
        <v>#REF!</v>
      </c>
      <c r="AF45" s="39" t="e">
        <f t="shared" ref="AF45:AF47" si="80">AC45+AD45-AE45</f>
        <v>#REF!</v>
      </c>
      <c r="AG45" s="66">
        <v>0</v>
      </c>
      <c r="AH45" s="69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AI45" s="39" t="e">
        <f t="shared" ref="AI45:AI47" si="81">AF45+AG45-AH45</f>
        <v>#REF!</v>
      </c>
      <c r="AJ45" s="66">
        <v>0</v>
      </c>
      <c r="AK45" s="75">
        <v>0</v>
      </c>
      <c r="AL45" s="39" t="e">
        <f t="shared" ref="AL45:AL47" si="82">AI45+AJ45-AK45</f>
        <v>#REF!</v>
      </c>
      <c r="AM45" s="66">
        <v>0</v>
      </c>
      <c r="AN45" s="51" t="e">
        <f>#REF!+#REF!+#REF!+#REF!+#REF!</f>
        <v>#REF!</v>
      </c>
      <c r="AO45" s="39" t="e">
        <f t="shared" ref="AO45:AO47" si="83">AL45+AM45-AN45</f>
        <v>#REF!</v>
      </c>
      <c r="AP45" s="36">
        <v>453240000</v>
      </c>
      <c r="AQ45" s="36">
        <v>226620000</v>
      </c>
      <c r="AR45" s="51" t="e">
        <f>#REF!+#REF!+#REF!+#REF!+#REF!</f>
        <v>#REF!</v>
      </c>
      <c r="AS45" s="39" t="e">
        <f t="shared" ref="AS45:AS47" si="84">AO45+AQ45-AR45</f>
        <v>#REF!</v>
      </c>
      <c r="AT45" s="66">
        <v>0</v>
      </c>
      <c r="AU45" s="51" t="e">
        <f>#REF!+#REF!+#REF!+14645950</f>
        <v>#REF!</v>
      </c>
      <c r="AV45" s="39" t="e">
        <f t="shared" ref="AV45:AV47" si="85">AS45+AT45-AU45</f>
        <v>#REF!</v>
      </c>
      <c r="AW45" s="66">
        <v>0</v>
      </c>
      <c r="AX45" s="51" t="e">
        <f>#REF!+#REF!+#REF!+#REF!+#REF!+#REF!+#REF!+#REF!+#REF!</f>
        <v>#REF!</v>
      </c>
      <c r="AY45" s="39" t="e">
        <f t="shared" ref="AY45:AY47" si="86">AV45+AW45-AX45</f>
        <v>#REF!</v>
      </c>
      <c r="AZ45" s="66">
        <v>0</v>
      </c>
      <c r="BA45" s="51" t="e">
        <f>#REF!+#REF!+#REF!+#REF!+#REF!+#REF!+#REF!+#REF!+#REF!+#REF!+#REF!+#REF!+#REF!+#REF!+#REF!+#REF!+#REF!+#REF!+#REF!</f>
        <v>#REF!</v>
      </c>
      <c r="BB45" s="39" t="e">
        <f t="shared" ref="BB45:BB47" si="87">AY45+AZ45-BA45</f>
        <v>#REF!</v>
      </c>
      <c r="BC45" s="66">
        <v>0</v>
      </c>
      <c r="BD45" s="51" t="e">
        <f>#REF!</f>
        <v>#REF!</v>
      </c>
      <c r="BE45" s="39" t="e">
        <f t="shared" ref="BE45:BE47" si="88">BB45+BC45-BD45</f>
        <v>#REF!</v>
      </c>
      <c r="BF45" s="66">
        <v>0</v>
      </c>
      <c r="BG45" s="51"/>
      <c r="BH45" s="39" t="e">
        <f t="shared" ref="BH45:BH47" si="89">BE45+BF45-BG45</f>
        <v>#REF!</v>
      </c>
      <c r="BI45" s="66">
        <v>0</v>
      </c>
      <c r="BJ45" s="51" t="e">
        <f>#REF!</f>
        <v>#REF!</v>
      </c>
      <c r="BK45" s="39" t="e">
        <f t="shared" ref="BK45:BK47" si="90">BH45+BI45-BJ45</f>
        <v>#REF!</v>
      </c>
      <c r="BL45" s="66">
        <v>0</v>
      </c>
      <c r="BM45" s="51">
        <v>0</v>
      </c>
      <c r="BN45" s="39" t="e">
        <f t="shared" ref="BN45:BN47" si="91">BK45+BL45-BM45</f>
        <v>#REF!</v>
      </c>
      <c r="BO45" s="66">
        <v>0</v>
      </c>
      <c r="BP45" s="51">
        <v>0</v>
      </c>
      <c r="BQ45" s="39" t="e">
        <f t="shared" ref="BQ45:BQ47" si="92">BN45+BO45-BP45</f>
        <v>#REF!</v>
      </c>
      <c r="BR45" s="46">
        <v>226620000</v>
      </c>
      <c r="BS45" s="41" t="e">
        <f t="shared" ref="BS45:BS47" si="93">P45+S45+V45+Y45+AB45+AE45+AH45+AK45+AN45+AR45+AU45++AX45+BA45+BD45+BG45+BJ45+BM45+BP45</f>
        <v>#REF!</v>
      </c>
      <c r="BT45" s="52" t="e">
        <f>N44-BS45+BS46</f>
        <v>#REF!</v>
      </c>
      <c r="BU45" s="76">
        <v>200000000</v>
      </c>
      <c r="BV45" s="52" t="e">
        <f>BT45-BU45</f>
        <v>#REF!</v>
      </c>
      <c r="BW45" s="4"/>
      <c r="BX45" s="4"/>
    </row>
    <row r="46" ht="15.75" customHeight="1" spans="1:76">
      <c r="A46" s="31">
        <v>4433</v>
      </c>
      <c r="B46" s="27" t="s">
        <v>445</v>
      </c>
      <c r="C46" s="27" t="s">
        <v>414</v>
      </c>
      <c r="D46" s="33" t="s">
        <v>446</v>
      </c>
      <c r="E46" s="2"/>
      <c r="F46" s="2"/>
      <c r="G46" s="2"/>
      <c r="H46" s="2"/>
      <c r="I46" s="7"/>
      <c r="J46" s="31">
        <v>378</v>
      </c>
      <c r="K46" s="31">
        <v>25</v>
      </c>
      <c r="L46" s="35" t="s">
        <v>381</v>
      </c>
      <c r="M46" s="36">
        <v>60000</v>
      </c>
      <c r="N46" s="36">
        <v>567000000</v>
      </c>
      <c r="O46" s="36">
        <v>31500000</v>
      </c>
      <c r="P46" s="38" t="e">
        <f>SUMIF(#REF!,$P$3&amp;B46,#REF!)</f>
        <v>#REF!</v>
      </c>
      <c r="Q46" s="39" t="e">
        <f t="shared" si="75"/>
        <v>#REF!</v>
      </c>
      <c r="R46" s="36">
        <v>31500000</v>
      </c>
      <c r="S46" s="38" t="e">
        <f>SUMIF(#REF!,$S$3&amp;B46,#REF!)</f>
        <v>#REF!</v>
      </c>
      <c r="T46" s="39" t="e">
        <f t="shared" si="76"/>
        <v>#REF!</v>
      </c>
      <c r="U46" s="36">
        <v>31500000</v>
      </c>
      <c r="V46" s="38" t="e">
        <f>SUMIF(#REF!,V3&amp;B46,#REF!)</f>
        <v>#REF!</v>
      </c>
      <c r="W46" s="39" t="e">
        <f t="shared" si="77"/>
        <v>#REF!</v>
      </c>
      <c r="X46" s="36">
        <v>31500000</v>
      </c>
      <c r="Y46" s="38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Z46" s="67" t="e">
        <f t="shared" si="78"/>
        <v>#REF!</v>
      </c>
      <c r="AA46" s="36">
        <v>31500000</v>
      </c>
      <c r="AB46" s="38" t="e">
        <f>#REF!</f>
        <v>#REF!</v>
      </c>
      <c r="AC46" s="67" t="e">
        <f t="shared" si="79"/>
        <v>#REF!</v>
      </c>
      <c r="AD46" s="36">
        <v>31500000</v>
      </c>
      <c r="AE46" s="38" t="e">
        <f>#REF!+#REF!</f>
        <v>#REF!</v>
      </c>
      <c r="AF46" s="39" t="e">
        <f t="shared" si="80"/>
        <v>#REF!</v>
      </c>
      <c r="AG46" s="48">
        <v>31500000</v>
      </c>
      <c r="AH46" s="51" t="e">
        <f>#REF!+#REF!+#REF!+#REF!+#REF!+#REF!+#REF!+#REF!+#REF!+#REF!+#REF!+#REF!</f>
        <v>#REF!</v>
      </c>
      <c r="AI46" s="39" t="e">
        <f t="shared" si="81"/>
        <v>#REF!</v>
      </c>
      <c r="AJ46" s="36">
        <v>31500000</v>
      </c>
      <c r="AK46" s="75">
        <v>0</v>
      </c>
      <c r="AL46" s="39" t="e">
        <f t="shared" si="82"/>
        <v>#REF!</v>
      </c>
      <c r="AM46" s="36">
        <v>31500000</v>
      </c>
      <c r="AN46" s="51" t="e">
        <f>#REF!+#REF!</f>
        <v>#REF!</v>
      </c>
      <c r="AO46" s="39" t="e">
        <f t="shared" si="83"/>
        <v>#REF!</v>
      </c>
      <c r="AP46" s="36">
        <v>283500000</v>
      </c>
      <c r="AQ46" s="36">
        <v>31500000</v>
      </c>
      <c r="AR46" s="51">
        <v>0</v>
      </c>
      <c r="AS46" s="39" t="e">
        <f t="shared" si="84"/>
        <v>#REF!</v>
      </c>
      <c r="AT46" s="36">
        <v>31500000</v>
      </c>
      <c r="AU46" s="51">
        <v>0</v>
      </c>
      <c r="AV46" s="39" t="e">
        <f t="shared" si="85"/>
        <v>#REF!</v>
      </c>
      <c r="AW46" s="36">
        <v>31500000</v>
      </c>
      <c r="AX46" s="51">
        <v>0</v>
      </c>
      <c r="AY46" s="39" t="e">
        <f t="shared" si="86"/>
        <v>#REF!</v>
      </c>
      <c r="AZ46" s="36">
        <v>31500000</v>
      </c>
      <c r="BA46" s="51">
        <v>0</v>
      </c>
      <c r="BB46" s="39" t="e">
        <f t="shared" si="87"/>
        <v>#REF!</v>
      </c>
      <c r="BC46" s="36">
        <v>31500000</v>
      </c>
      <c r="BD46" s="51">
        <v>0</v>
      </c>
      <c r="BE46" s="39" t="e">
        <f t="shared" si="88"/>
        <v>#REF!</v>
      </c>
      <c r="BF46" s="36">
        <v>31500000</v>
      </c>
      <c r="BG46" s="51">
        <v>0</v>
      </c>
      <c r="BH46" s="39" t="e">
        <f t="shared" si="89"/>
        <v>#REF!</v>
      </c>
      <c r="BI46" s="36">
        <v>31500000</v>
      </c>
      <c r="BJ46" s="51">
        <v>0</v>
      </c>
      <c r="BK46" s="39" t="e">
        <f t="shared" si="90"/>
        <v>#REF!</v>
      </c>
      <c r="BL46" s="36">
        <v>31500000</v>
      </c>
      <c r="BM46" s="51">
        <v>0</v>
      </c>
      <c r="BN46" s="39" t="e">
        <f t="shared" si="91"/>
        <v>#REF!</v>
      </c>
      <c r="BO46" s="36">
        <v>31500000</v>
      </c>
      <c r="BP46" s="51">
        <v>0</v>
      </c>
      <c r="BQ46" s="39" t="e">
        <f t="shared" si="92"/>
        <v>#REF!</v>
      </c>
      <c r="BR46" s="46">
        <v>283500000</v>
      </c>
      <c r="BS46" s="41" t="e">
        <f t="shared" si="93"/>
        <v>#REF!</v>
      </c>
      <c r="BT46" s="4"/>
      <c r="BU46" s="4"/>
      <c r="BV46" s="4"/>
      <c r="BW46" s="4"/>
      <c r="BX46" s="4"/>
    </row>
    <row r="47" ht="15.75" customHeight="1" spans="1:76">
      <c r="A47" s="24"/>
      <c r="B47" s="27" t="s">
        <v>447</v>
      </c>
      <c r="C47" s="27" t="s">
        <v>414</v>
      </c>
      <c r="D47" s="26" t="s">
        <v>448</v>
      </c>
      <c r="E47" s="2"/>
      <c r="F47" s="2"/>
      <c r="G47" s="2"/>
      <c r="H47" s="2"/>
      <c r="I47" s="7"/>
      <c r="J47" s="24"/>
      <c r="K47" s="24"/>
      <c r="L47" s="24"/>
      <c r="M47" s="28"/>
      <c r="N47" s="43">
        <f t="shared" ref="N47:O47" si="94">SUM(N48:N49)</f>
        <v>39000000</v>
      </c>
      <c r="O47" s="43">
        <f t="shared" si="94"/>
        <v>39000000</v>
      </c>
      <c r="P47" s="38" t="e">
        <f>SUMIF(#REF!,$P$3&amp;B47,#REF!)</f>
        <v>#REF!</v>
      </c>
      <c r="Q47" s="39" t="e">
        <f t="shared" si="75"/>
        <v>#REF!</v>
      </c>
      <c r="R47" s="71">
        <v>0</v>
      </c>
      <c r="S47" s="38" t="e">
        <f>SUMIF(#REF!,$S$3&amp;B47,#REF!)</f>
        <v>#REF!</v>
      </c>
      <c r="T47" s="39" t="e">
        <f t="shared" si="76"/>
        <v>#REF!</v>
      </c>
      <c r="U47" s="71">
        <v>0</v>
      </c>
      <c r="V47" s="71">
        <v>0</v>
      </c>
      <c r="W47" s="39" t="e">
        <f t="shared" si="77"/>
        <v>#REF!</v>
      </c>
      <c r="X47" s="71">
        <v>0</v>
      </c>
      <c r="Y47" s="68" t="e">
        <f>#REF!</f>
        <v>#REF!</v>
      </c>
      <c r="Z47" s="67" t="e">
        <f t="shared" si="78"/>
        <v>#REF!</v>
      </c>
      <c r="AA47" s="71">
        <v>0</v>
      </c>
      <c r="AB47" s="68">
        <v>0</v>
      </c>
      <c r="AC47" s="67" t="e">
        <f t="shared" si="79"/>
        <v>#REF!</v>
      </c>
      <c r="AD47" s="71">
        <v>0</v>
      </c>
      <c r="AE47" s="68">
        <v>0</v>
      </c>
      <c r="AF47" s="67" t="e">
        <f t="shared" si="80"/>
        <v>#REF!</v>
      </c>
      <c r="AG47" s="71">
        <v>0</v>
      </c>
      <c r="AH47" s="69">
        <v>0</v>
      </c>
      <c r="AI47" s="67" t="e">
        <f t="shared" si="81"/>
        <v>#REF!</v>
      </c>
      <c r="AJ47" s="71">
        <v>0</v>
      </c>
      <c r="AK47" s="77">
        <v>0</v>
      </c>
      <c r="AL47" s="67" t="e">
        <f t="shared" si="82"/>
        <v>#REF!</v>
      </c>
      <c r="AM47" s="71">
        <v>0</v>
      </c>
      <c r="AN47" s="51">
        <v>0</v>
      </c>
      <c r="AO47" s="67" t="e">
        <f t="shared" si="83"/>
        <v>#REF!</v>
      </c>
      <c r="AP47" s="43">
        <f>SUM(AP48:AP49)</f>
        <v>39000000</v>
      </c>
      <c r="AQ47" s="71">
        <v>0</v>
      </c>
      <c r="AR47" s="51">
        <v>0</v>
      </c>
      <c r="AS47" s="67" t="e">
        <f t="shared" si="84"/>
        <v>#REF!</v>
      </c>
      <c r="AT47" s="71">
        <v>0</v>
      </c>
      <c r="AU47" s="51">
        <v>0</v>
      </c>
      <c r="AV47" s="67" t="e">
        <f t="shared" si="85"/>
        <v>#REF!</v>
      </c>
      <c r="AW47" s="71">
        <v>0</v>
      </c>
      <c r="AX47" s="51">
        <v>0</v>
      </c>
      <c r="AY47" s="67" t="e">
        <f t="shared" si="86"/>
        <v>#REF!</v>
      </c>
      <c r="AZ47" s="71">
        <v>0</v>
      </c>
      <c r="BA47" s="51">
        <v>0</v>
      </c>
      <c r="BB47" s="67" t="e">
        <f t="shared" si="87"/>
        <v>#REF!</v>
      </c>
      <c r="BC47" s="71">
        <v>0</v>
      </c>
      <c r="BD47" s="51">
        <v>0</v>
      </c>
      <c r="BE47" s="67" t="e">
        <f t="shared" si="88"/>
        <v>#REF!</v>
      </c>
      <c r="BF47" s="71">
        <v>0</v>
      </c>
      <c r="BG47" s="51">
        <v>0</v>
      </c>
      <c r="BH47" s="67" t="e">
        <f t="shared" si="89"/>
        <v>#REF!</v>
      </c>
      <c r="BI47" s="71">
        <v>0</v>
      </c>
      <c r="BJ47" s="51">
        <v>0</v>
      </c>
      <c r="BK47" s="67" t="e">
        <f t="shared" si="90"/>
        <v>#REF!</v>
      </c>
      <c r="BL47" s="71">
        <v>0</v>
      </c>
      <c r="BM47" s="51">
        <v>0</v>
      </c>
      <c r="BN47" s="67" t="e">
        <f t="shared" si="91"/>
        <v>#REF!</v>
      </c>
      <c r="BO47" s="71">
        <v>0</v>
      </c>
      <c r="BP47" s="51">
        <v>0</v>
      </c>
      <c r="BQ47" s="67" t="e">
        <f t="shared" si="92"/>
        <v>#REF!</v>
      </c>
      <c r="BR47" s="73">
        <v>0</v>
      </c>
      <c r="BS47" s="41" t="e">
        <f t="shared" si="93"/>
        <v>#REF!</v>
      </c>
      <c r="BT47" s="4"/>
      <c r="BU47" s="4"/>
      <c r="BV47" s="4"/>
      <c r="BW47" s="4"/>
      <c r="BX47" s="4"/>
    </row>
    <row r="48" ht="15.75" customHeight="1" spans="1:76">
      <c r="A48" s="31">
        <v>4434</v>
      </c>
      <c r="B48" s="24"/>
      <c r="C48" s="27" t="s">
        <v>414</v>
      </c>
      <c r="D48" s="33" t="s">
        <v>449</v>
      </c>
      <c r="E48" s="2"/>
      <c r="F48" s="2"/>
      <c r="G48" s="2"/>
      <c r="H48" s="2"/>
      <c r="I48" s="7"/>
      <c r="J48" s="31">
        <v>1</v>
      </c>
      <c r="K48" s="31">
        <v>200</v>
      </c>
      <c r="L48" s="35" t="s">
        <v>450</v>
      </c>
      <c r="M48" s="36">
        <v>145000</v>
      </c>
      <c r="N48" s="36">
        <v>29000000</v>
      </c>
      <c r="O48" s="36">
        <v>29000000</v>
      </c>
      <c r="P48" s="36"/>
      <c r="Q48" s="36"/>
      <c r="R48" s="66" t="s">
        <v>427</v>
      </c>
      <c r="S48" s="66"/>
      <c r="T48" s="66"/>
      <c r="U48" s="66" t="s">
        <v>427</v>
      </c>
      <c r="V48" s="66"/>
      <c r="W48" s="66"/>
      <c r="X48" s="66" t="s">
        <v>427</v>
      </c>
      <c r="Y48" s="66"/>
      <c r="Z48" s="66"/>
      <c r="AA48" s="66" t="s">
        <v>427</v>
      </c>
      <c r="AB48" s="66"/>
      <c r="AC48" s="66"/>
      <c r="AD48" s="66" t="s">
        <v>427</v>
      </c>
      <c r="AE48" s="66"/>
      <c r="AF48" s="66"/>
      <c r="AG48" s="66" t="s">
        <v>427</v>
      </c>
      <c r="AH48" s="66"/>
      <c r="AI48" s="66"/>
      <c r="AJ48" s="66" t="s">
        <v>427</v>
      </c>
      <c r="AK48" s="66"/>
      <c r="AL48" s="66"/>
      <c r="AM48" s="66" t="s">
        <v>427</v>
      </c>
      <c r="AN48" s="66"/>
      <c r="AO48" s="66"/>
      <c r="AP48" s="36">
        <v>29000000</v>
      </c>
      <c r="AQ48" s="66" t="s">
        <v>427</v>
      </c>
      <c r="AR48" s="66"/>
      <c r="AS48" s="66"/>
      <c r="AT48" s="66" t="s">
        <v>427</v>
      </c>
      <c r="AU48" s="66"/>
      <c r="AV48" s="66"/>
      <c r="AW48" s="66" t="s">
        <v>427</v>
      </c>
      <c r="AX48" s="66"/>
      <c r="AY48" s="66"/>
      <c r="AZ48" s="66" t="s">
        <v>427</v>
      </c>
      <c r="BA48" s="66"/>
      <c r="BB48" s="66"/>
      <c r="BC48" s="66" t="s">
        <v>427</v>
      </c>
      <c r="BD48" s="66"/>
      <c r="BE48" s="66"/>
      <c r="BF48" s="66" t="s">
        <v>427</v>
      </c>
      <c r="BG48" s="66"/>
      <c r="BH48" s="66"/>
      <c r="BI48" s="66" t="s">
        <v>427</v>
      </c>
      <c r="BJ48" s="66"/>
      <c r="BK48" s="66"/>
      <c r="BL48" s="66" t="s">
        <v>427</v>
      </c>
      <c r="BM48" s="66"/>
      <c r="BN48" s="66"/>
      <c r="BO48" s="66" t="s">
        <v>427</v>
      </c>
      <c r="BP48" s="66"/>
      <c r="BQ48" s="66"/>
      <c r="BR48" s="70" t="s">
        <v>427</v>
      </c>
      <c r="BS48" s="66"/>
      <c r="BT48" s="4"/>
      <c r="BU48" s="4"/>
      <c r="BV48" s="4"/>
      <c r="BW48" s="4"/>
      <c r="BX48" s="4"/>
    </row>
    <row r="49" ht="15.75" customHeight="1" spans="1:76">
      <c r="A49" s="31">
        <v>4434</v>
      </c>
      <c r="B49" s="24"/>
      <c r="C49" s="27" t="s">
        <v>414</v>
      </c>
      <c r="D49" s="33" t="s">
        <v>451</v>
      </c>
      <c r="E49" s="2"/>
      <c r="F49" s="2"/>
      <c r="G49" s="2"/>
      <c r="H49" s="2"/>
      <c r="I49" s="7"/>
      <c r="J49" s="31">
        <v>1</v>
      </c>
      <c r="K49" s="31">
        <v>200</v>
      </c>
      <c r="L49" s="35" t="s">
        <v>416</v>
      </c>
      <c r="M49" s="36">
        <v>50000</v>
      </c>
      <c r="N49" s="36">
        <v>10000000</v>
      </c>
      <c r="O49" s="36">
        <v>10000000</v>
      </c>
      <c r="P49" s="36"/>
      <c r="Q49" s="36"/>
      <c r="R49" s="66" t="s">
        <v>427</v>
      </c>
      <c r="S49" s="66"/>
      <c r="T49" s="66"/>
      <c r="U49" s="66" t="s">
        <v>427</v>
      </c>
      <c r="V49" s="66"/>
      <c r="W49" s="66"/>
      <c r="X49" s="66" t="s">
        <v>427</v>
      </c>
      <c r="Y49" s="66"/>
      <c r="Z49" s="66"/>
      <c r="AA49" s="66" t="s">
        <v>427</v>
      </c>
      <c r="AB49" s="66"/>
      <c r="AC49" s="66"/>
      <c r="AD49" s="66" t="s">
        <v>427</v>
      </c>
      <c r="AE49" s="66"/>
      <c r="AF49" s="66"/>
      <c r="AG49" s="66" t="s">
        <v>427</v>
      </c>
      <c r="AH49" s="66"/>
      <c r="AI49" s="66"/>
      <c r="AJ49" s="66" t="s">
        <v>427</v>
      </c>
      <c r="AK49" s="66"/>
      <c r="AL49" s="66"/>
      <c r="AM49" s="66" t="s">
        <v>427</v>
      </c>
      <c r="AN49" s="66"/>
      <c r="AO49" s="66"/>
      <c r="AP49" s="36">
        <v>10000000</v>
      </c>
      <c r="AQ49" s="66" t="s">
        <v>427</v>
      </c>
      <c r="AR49" s="66"/>
      <c r="AS49" s="66"/>
      <c r="AT49" s="66" t="s">
        <v>427</v>
      </c>
      <c r="AU49" s="66"/>
      <c r="AV49" s="66"/>
      <c r="AW49" s="66" t="s">
        <v>427</v>
      </c>
      <c r="AX49" s="66"/>
      <c r="AY49" s="66"/>
      <c r="AZ49" s="66" t="s">
        <v>427</v>
      </c>
      <c r="BA49" s="66"/>
      <c r="BB49" s="66"/>
      <c r="BC49" s="66" t="s">
        <v>427</v>
      </c>
      <c r="BD49" s="66"/>
      <c r="BE49" s="66"/>
      <c r="BF49" s="66" t="s">
        <v>427</v>
      </c>
      <c r="BG49" s="66"/>
      <c r="BH49" s="66"/>
      <c r="BI49" s="66" t="s">
        <v>427</v>
      </c>
      <c r="BJ49" s="66"/>
      <c r="BK49" s="66"/>
      <c r="BL49" s="66" t="s">
        <v>427</v>
      </c>
      <c r="BM49" s="66"/>
      <c r="BN49" s="66"/>
      <c r="BO49" s="66" t="s">
        <v>427</v>
      </c>
      <c r="BP49" s="66"/>
      <c r="BQ49" s="66"/>
      <c r="BR49" s="70" t="s">
        <v>427</v>
      </c>
      <c r="BS49" s="66"/>
      <c r="BT49" s="4"/>
      <c r="BU49" s="4"/>
      <c r="BV49" s="4"/>
      <c r="BW49" s="4"/>
      <c r="BX49" s="4"/>
    </row>
    <row r="50" ht="15.75" customHeight="1" spans="1:76">
      <c r="A50" s="24"/>
      <c r="B50" s="47">
        <v>4.4</v>
      </c>
      <c r="C50" s="24"/>
      <c r="D50" s="26" t="s">
        <v>452</v>
      </c>
      <c r="E50" s="2"/>
      <c r="F50" s="2"/>
      <c r="G50" s="2"/>
      <c r="H50" s="2"/>
      <c r="I50" s="7"/>
      <c r="J50" s="24"/>
      <c r="K50" s="24"/>
      <c r="L50" s="24"/>
      <c r="M50" s="28"/>
      <c r="N50" s="29">
        <f t="shared" ref="N50:BR50" si="95">N51</f>
        <v>184000000</v>
      </c>
      <c r="O50" s="29">
        <f t="shared" si="95"/>
        <v>61333333</v>
      </c>
      <c r="P50" s="29" t="e">
        <f t="shared" si="95"/>
        <v>#REF!</v>
      </c>
      <c r="Q50" s="29" t="e">
        <f t="shared" si="95"/>
        <v>#REF!</v>
      </c>
      <c r="R50" s="29">
        <f t="shared" si="95"/>
        <v>61333333</v>
      </c>
      <c r="S50" s="29" t="e">
        <f t="shared" si="95"/>
        <v>#REF!</v>
      </c>
      <c r="T50" s="29" t="e">
        <f t="shared" si="95"/>
        <v>#REF!</v>
      </c>
      <c r="U50" s="29">
        <f t="shared" si="95"/>
        <v>0</v>
      </c>
      <c r="V50" s="29">
        <f t="shared" si="95"/>
        <v>0</v>
      </c>
      <c r="W50" s="29" t="e">
        <f t="shared" si="95"/>
        <v>#REF!</v>
      </c>
      <c r="X50" s="29">
        <f t="shared" si="95"/>
        <v>0</v>
      </c>
      <c r="Y50" s="29">
        <f t="shared" si="95"/>
        <v>0</v>
      </c>
      <c r="Z50" s="29" t="e">
        <f t="shared" si="95"/>
        <v>#REF!</v>
      </c>
      <c r="AA50" s="29">
        <f t="shared" si="95"/>
        <v>0</v>
      </c>
      <c r="AB50" s="29">
        <f t="shared" si="95"/>
        <v>0</v>
      </c>
      <c r="AC50" s="29" t="e">
        <f t="shared" si="95"/>
        <v>#REF!</v>
      </c>
      <c r="AD50" s="29">
        <f t="shared" si="95"/>
        <v>0</v>
      </c>
      <c r="AE50" s="29" t="e">
        <f t="shared" si="95"/>
        <v>#REF!</v>
      </c>
      <c r="AF50" s="29" t="e">
        <f t="shared" si="95"/>
        <v>#REF!</v>
      </c>
      <c r="AG50" s="29">
        <f t="shared" si="95"/>
        <v>0</v>
      </c>
      <c r="AH50" s="29" t="e">
        <f t="shared" si="95"/>
        <v>#REF!</v>
      </c>
      <c r="AI50" s="29" t="e">
        <f t="shared" si="95"/>
        <v>#REF!</v>
      </c>
      <c r="AJ50" s="29">
        <f t="shared" si="95"/>
        <v>0</v>
      </c>
      <c r="AK50" s="29">
        <f t="shared" si="95"/>
        <v>0</v>
      </c>
      <c r="AL50" s="29" t="e">
        <f t="shared" si="95"/>
        <v>#REF!</v>
      </c>
      <c r="AM50" s="29">
        <f t="shared" si="95"/>
        <v>0</v>
      </c>
      <c r="AN50" s="29" t="e">
        <f t="shared" si="95"/>
        <v>#REF!</v>
      </c>
      <c r="AO50" s="29" t="e">
        <f t="shared" si="95"/>
        <v>#REF!</v>
      </c>
      <c r="AP50" s="29">
        <f t="shared" si="95"/>
        <v>122666667</v>
      </c>
      <c r="AQ50" s="29">
        <f t="shared" si="95"/>
        <v>61333333</v>
      </c>
      <c r="AR50" s="29" t="e">
        <f t="shared" si="95"/>
        <v>#REF!</v>
      </c>
      <c r="AS50" s="29" t="e">
        <f t="shared" si="95"/>
        <v>#REF!</v>
      </c>
      <c r="AT50" s="29">
        <f t="shared" si="95"/>
        <v>0</v>
      </c>
      <c r="AU50" s="29" t="e">
        <f t="shared" si="95"/>
        <v>#REF!</v>
      </c>
      <c r="AV50" s="29" t="e">
        <f t="shared" si="95"/>
        <v>#REF!</v>
      </c>
      <c r="AW50" s="29">
        <f t="shared" si="95"/>
        <v>0</v>
      </c>
      <c r="AX50" s="29" t="e">
        <f t="shared" si="95"/>
        <v>#REF!</v>
      </c>
      <c r="AY50" s="29" t="e">
        <f t="shared" si="95"/>
        <v>#REF!</v>
      </c>
      <c r="AZ50" s="29">
        <f t="shared" si="95"/>
        <v>0</v>
      </c>
      <c r="BA50" s="29" t="e">
        <f t="shared" si="95"/>
        <v>#REF!</v>
      </c>
      <c r="BB50" s="29" t="e">
        <f t="shared" si="95"/>
        <v>#REF!</v>
      </c>
      <c r="BC50" s="29">
        <f t="shared" si="95"/>
        <v>0</v>
      </c>
      <c r="BD50" s="29" t="e">
        <f t="shared" si="95"/>
        <v>#REF!</v>
      </c>
      <c r="BE50" s="29" t="e">
        <f t="shared" si="95"/>
        <v>#REF!</v>
      </c>
      <c r="BF50" s="29">
        <f t="shared" si="95"/>
        <v>0</v>
      </c>
      <c r="BG50" s="29" t="e">
        <f t="shared" si="95"/>
        <v>#REF!</v>
      </c>
      <c r="BH50" s="29" t="e">
        <f t="shared" si="95"/>
        <v>#REF!</v>
      </c>
      <c r="BI50" s="29">
        <f t="shared" si="95"/>
        <v>0</v>
      </c>
      <c r="BJ50" s="29">
        <f t="shared" si="95"/>
        <v>0</v>
      </c>
      <c r="BK50" s="29" t="e">
        <f t="shared" si="95"/>
        <v>#REF!</v>
      </c>
      <c r="BL50" s="29">
        <f t="shared" si="95"/>
        <v>0</v>
      </c>
      <c r="BM50" s="29">
        <f t="shared" si="95"/>
        <v>0</v>
      </c>
      <c r="BN50" s="29" t="e">
        <f t="shared" si="95"/>
        <v>#REF!</v>
      </c>
      <c r="BO50" s="29">
        <f t="shared" si="95"/>
        <v>0</v>
      </c>
      <c r="BP50" s="29">
        <f t="shared" si="95"/>
        <v>0</v>
      </c>
      <c r="BQ50" s="29" t="e">
        <f t="shared" si="95"/>
        <v>#REF!</v>
      </c>
      <c r="BR50" s="30">
        <f t="shared" si="95"/>
        <v>61333333</v>
      </c>
      <c r="BS50" s="29"/>
      <c r="BT50" s="4"/>
      <c r="BU50" s="4"/>
      <c r="BV50" s="4"/>
      <c r="BW50" s="4"/>
      <c r="BX50" s="4"/>
    </row>
    <row r="51" ht="15.75" customHeight="1" spans="1:76">
      <c r="A51" s="24"/>
      <c r="B51" s="27" t="s">
        <v>453</v>
      </c>
      <c r="C51" s="27" t="s">
        <v>414</v>
      </c>
      <c r="D51" s="26" t="s">
        <v>454</v>
      </c>
      <c r="E51" s="2"/>
      <c r="F51" s="2"/>
      <c r="G51" s="2"/>
      <c r="H51" s="2"/>
      <c r="I51" s="7"/>
      <c r="J51" s="24"/>
      <c r="K51" s="24"/>
      <c r="L51" s="24"/>
      <c r="M51" s="28"/>
      <c r="N51" s="43">
        <f t="shared" ref="N51:O51" si="96">SUM(N52:N54)</f>
        <v>184000000</v>
      </c>
      <c r="O51" s="43">
        <f t="shared" si="96"/>
        <v>61333333</v>
      </c>
      <c r="P51" s="38" t="e">
        <f>SUMIF(#REF!,$P$3&amp;B51,#REF!)</f>
        <v>#REF!</v>
      </c>
      <c r="Q51" s="78" t="e">
        <f>O51-P51</f>
        <v>#REF!</v>
      </c>
      <c r="R51" s="43">
        <f>SUM(R52:R54)</f>
        <v>61333333</v>
      </c>
      <c r="S51" s="38" t="e">
        <f>SUMIF(#REF!,$S$3&amp;B51,#REF!)</f>
        <v>#REF!</v>
      </c>
      <c r="T51" s="39" t="e">
        <f>Q51+R51-S51</f>
        <v>#REF!</v>
      </c>
      <c r="U51" s="43">
        <f>SUM(U52:U54)</f>
        <v>0</v>
      </c>
      <c r="V51" s="79">
        <v>0</v>
      </c>
      <c r="W51" s="78" t="e">
        <f>T51+U51-V51</f>
        <v>#REF!</v>
      </c>
      <c r="X51" s="43">
        <f>SUM(X52:X54)</f>
        <v>0</v>
      </c>
      <c r="Y51" s="79">
        <v>0</v>
      </c>
      <c r="Z51" s="80" t="e">
        <f>W51+X51-Y51</f>
        <v>#REF!</v>
      </c>
      <c r="AA51" s="43">
        <f>SUM(AA52:AA54)</f>
        <v>0</v>
      </c>
      <c r="AB51" s="79">
        <v>0</v>
      </c>
      <c r="AC51" s="80" t="e">
        <f>Z51+AA51-AB51</f>
        <v>#REF!</v>
      </c>
      <c r="AD51" s="43">
        <f>SUM(AD52:AD54)</f>
        <v>0</v>
      </c>
      <c r="AE51" s="81" t="e">
        <f>#REF!</f>
        <v>#REF!</v>
      </c>
      <c r="AF51" s="78" t="e">
        <f>AC51+AD51-AE51</f>
        <v>#REF!</v>
      </c>
      <c r="AG51" s="43">
        <f>SUM(AG52:AG54)</f>
        <v>0</v>
      </c>
      <c r="AH51" s="82" t="e">
        <f>#REF!+#REF!+#REF!+#REF!+#REF!+#REF!+#REF!+#REF!+#REF!+#REF!+#REF!+#REF!</f>
        <v>#REF!</v>
      </c>
      <c r="AI51" s="78" t="e">
        <f>AF51+AG51-AH51</f>
        <v>#REF!</v>
      </c>
      <c r="AJ51" s="71">
        <v>0</v>
      </c>
      <c r="AK51" s="77">
        <v>0</v>
      </c>
      <c r="AL51" s="67" t="e">
        <f>AI51+AJ51-AK51</f>
        <v>#REF!</v>
      </c>
      <c r="AM51" s="71">
        <v>0</v>
      </c>
      <c r="AN51" s="51" t="e">
        <f>#REF!+#REF!</f>
        <v>#REF!</v>
      </c>
      <c r="AO51" s="67" t="e">
        <f>AL51+AM51-AN51</f>
        <v>#REF!</v>
      </c>
      <c r="AP51" s="43">
        <v>122666667</v>
      </c>
      <c r="AQ51" s="43">
        <v>61333333</v>
      </c>
      <c r="AR51" s="51" t="e">
        <f>#REF!+#REF!+#REF!</f>
        <v>#REF!</v>
      </c>
      <c r="AS51" s="67" t="e">
        <f>AO51+AQ51-AR51</f>
        <v>#REF!</v>
      </c>
      <c r="AT51" s="71">
        <v>0</v>
      </c>
      <c r="AU51" s="51" t="e">
        <f>#REF!+#REF!</f>
        <v>#REF!</v>
      </c>
      <c r="AV51" s="67" t="e">
        <f>AS51+AT51-AU51</f>
        <v>#REF!</v>
      </c>
      <c r="AW51" s="71">
        <v>0</v>
      </c>
      <c r="AX51" s="51" t="e">
        <f>#REF!</f>
        <v>#REF!</v>
      </c>
      <c r="AY51" s="67" t="e">
        <f>AV51+AW51-AX51</f>
        <v>#REF!</v>
      </c>
      <c r="AZ51" s="71">
        <v>0</v>
      </c>
      <c r="BA51" s="51" t="e">
        <f>#REF!+#REF!</f>
        <v>#REF!</v>
      </c>
      <c r="BB51" s="67" t="e">
        <f>AY51+AZ51-BA51</f>
        <v>#REF!</v>
      </c>
      <c r="BC51" s="71">
        <v>0</v>
      </c>
      <c r="BD51" s="51" t="e">
        <f>#REF!+#REF!+#REF!</f>
        <v>#REF!</v>
      </c>
      <c r="BE51" s="67" t="e">
        <f>BB51+BC51-BD51</f>
        <v>#REF!</v>
      </c>
      <c r="BF51" s="71">
        <v>0</v>
      </c>
      <c r="BG51" s="51" t="e">
        <f>#REF!</f>
        <v>#REF!</v>
      </c>
      <c r="BH51" s="67" t="e">
        <f>BE51+BF51-BG51</f>
        <v>#REF!</v>
      </c>
      <c r="BI51" s="71">
        <v>0</v>
      </c>
      <c r="BJ51" s="51">
        <v>0</v>
      </c>
      <c r="BK51" s="67" t="e">
        <f>BH51+BI51-BJ51</f>
        <v>#REF!</v>
      </c>
      <c r="BL51" s="71">
        <v>0</v>
      </c>
      <c r="BM51" s="51">
        <v>0</v>
      </c>
      <c r="BN51" s="67" t="e">
        <f>BK51+BL51-BM51</f>
        <v>#REF!</v>
      </c>
      <c r="BO51" s="71">
        <v>0</v>
      </c>
      <c r="BP51" s="51">
        <v>0</v>
      </c>
      <c r="BQ51" s="67" t="e">
        <f>BN51+BO51-BP51</f>
        <v>#REF!</v>
      </c>
      <c r="BR51" s="44">
        <v>61333333</v>
      </c>
      <c r="BS51" s="41" t="e">
        <f>P51+S51+V51+Y51+AB51+AE51+AH51+AK51+AN51+AR51+AU51++AX51+BA51+BD51+BG51+BJ51+BM51+BP51</f>
        <v>#REF!</v>
      </c>
      <c r="BT51" s="4"/>
      <c r="BU51" s="4"/>
      <c r="BV51" s="4"/>
      <c r="BW51" s="4"/>
      <c r="BX51" s="4"/>
    </row>
    <row r="52" ht="15.75" customHeight="1" spans="1:76">
      <c r="A52" s="31">
        <v>4441</v>
      </c>
      <c r="B52" s="24" t="s">
        <v>455</v>
      </c>
      <c r="C52" s="27" t="s">
        <v>414</v>
      </c>
      <c r="D52" s="33" t="s">
        <v>456</v>
      </c>
      <c r="E52" s="2"/>
      <c r="F52" s="2"/>
      <c r="G52" s="2"/>
      <c r="H52" s="2"/>
      <c r="I52" s="7"/>
      <c r="J52" s="31">
        <v>8</v>
      </c>
      <c r="K52" s="31">
        <v>1</v>
      </c>
      <c r="L52" s="35" t="s">
        <v>405</v>
      </c>
      <c r="M52" s="36">
        <v>3000000</v>
      </c>
      <c r="N52" s="36">
        <v>24000000</v>
      </c>
      <c r="O52" s="46">
        <v>8000000</v>
      </c>
      <c r="P52" s="83"/>
      <c r="Q52" s="83"/>
      <c r="R52" s="84">
        <v>8000000</v>
      </c>
      <c r="S52" s="4"/>
      <c r="T52" s="4"/>
      <c r="U52" s="70" t="s">
        <v>427</v>
      </c>
      <c r="V52" s="83"/>
      <c r="W52" s="83"/>
      <c r="X52" s="70" t="s">
        <v>427</v>
      </c>
      <c r="Y52" s="83"/>
      <c r="Z52" s="83"/>
      <c r="AA52" s="70" t="s">
        <v>427</v>
      </c>
      <c r="AB52" s="83"/>
      <c r="AC52" s="83"/>
      <c r="AD52" s="66" t="s">
        <v>427</v>
      </c>
      <c r="AE52" s="83"/>
      <c r="AF52" s="83"/>
      <c r="AG52" s="70" t="s">
        <v>427</v>
      </c>
      <c r="AH52" s="83"/>
      <c r="AI52" s="83"/>
      <c r="AJ52" s="85" t="s">
        <v>427</v>
      </c>
      <c r="AK52" s="66"/>
      <c r="AL52" s="66"/>
      <c r="AM52" s="66" t="s">
        <v>427</v>
      </c>
      <c r="AN52" s="66"/>
      <c r="AO52" s="66"/>
      <c r="AP52" s="36">
        <v>16000000</v>
      </c>
      <c r="AQ52" s="36">
        <v>8000000</v>
      </c>
      <c r="AR52" s="66"/>
      <c r="AS52" s="66"/>
      <c r="AT52" s="66" t="s">
        <v>427</v>
      </c>
      <c r="AU52" s="66"/>
      <c r="AV52" s="66"/>
      <c r="AW52" s="66" t="s">
        <v>427</v>
      </c>
      <c r="AX52" s="66"/>
      <c r="AY52" s="66"/>
      <c r="AZ52" s="66" t="s">
        <v>427</v>
      </c>
      <c r="BA52" s="66"/>
      <c r="BB52" s="66"/>
      <c r="BC52" s="66" t="s">
        <v>427</v>
      </c>
      <c r="BD52" s="66"/>
      <c r="BE52" s="66"/>
      <c r="BF52" s="66" t="s">
        <v>427</v>
      </c>
      <c r="BG52" s="66"/>
      <c r="BH52" s="66"/>
      <c r="BI52" s="66" t="s">
        <v>427</v>
      </c>
      <c r="BJ52" s="66"/>
      <c r="BK52" s="66"/>
      <c r="BL52" s="66" t="s">
        <v>427</v>
      </c>
      <c r="BM52" s="66"/>
      <c r="BN52" s="66"/>
      <c r="BO52" s="66" t="s">
        <v>427</v>
      </c>
      <c r="BP52" s="66"/>
      <c r="BQ52" s="66"/>
      <c r="BR52" s="46">
        <v>8000000</v>
      </c>
      <c r="BS52" s="36"/>
      <c r="BT52" s="4"/>
      <c r="BU52" s="4"/>
      <c r="BV52" s="4"/>
      <c r="BW52" s="4"/>
      <c r="BX52" s="4"/>
    </row>
    <row r="53" ht="15.75" customHeight="1" spans="1:76">
      <c r="A53" s="31">
        <v>4441</v>
      </c>
      <c r="B53" s="24" t="s">
        <v>457</v>
      </c>
      <c r="C53" s="27" t="s">
        <v>414</v>
      </c>
      <c r="D53" s="33" t="s">
        <v>458</v>
      </c>
      <c r="E53" s="2"/>
      <c r="F53" s="2"/>
      <c r="G53" s="2"/>
      <c r="H53" s="2"/>
      <c r="I53" s="7"/>
      <c r="J53" s="31">
        <v>8</v>
      </c>
      <c r="K53" s="31">
        <v>1</v>
      </c>
      <c r="L53" s="35" t="s">
        <v>405</v>
      </c>
      <c r="M53" s="36">
        <v>5000000</v>
      </c>
      <c r="N53" s="36">
        <v>40000000</v>
      </c>
      <c r="O53" s="36">
        <v>13333333</v>
      </c>
      <c r="P53" s="86"/>
      <c r="Q53" s="86"/>
      <c r="R53" s="36">
        <v>13333333</v>
      </c>
      <c r="S53" s="36"/>
      <c r="T53" s="36"/>
      <c r="U53" s="70" t="s">
        <v>427</v>
      </c>
      <c r="V53" s="87"/>
      <c r="W53" s="87"/>
      <c r="X53" s="66" t="s">
        <v>427</v>
      </c>
      <c r="Y53" s="87"/>
      <c r="Z53" s="87"/>
      <c r="AA53" s="66" t="s">
        <v>427</v>
      </c>
      <c r="AB53" s="87"/>
      <c r="AC53" s="87"/>
      <c r="AD53" s="66" t="s">
        <v>427</v>
      </c>
      <c r="AE53" s="87"/>
      <c r="AF53" s="87"/>
      <c r="AG53" s="66" t="s">
        <v>427</v>
      </c>
      <c r="AH53" s="87"/>
      <c r="AI53" s="87"/>
      <c r="AJ53" s="28"/>
      <c r="AK53" s="28"/>
      <c r="AL53" s="28"/>
      <c r="AM53" s="28"/>
      <c r="AN53" s="28"/>
      <c r="AO53" s="28"/>
      <c r="AP53" s="36">
        <v>26666667</v>
      </c>
      <c r="AQ53" s="36">
        <v>13333333</v>
      </c>
      <c r="AR53" s="28"/>
      <c r="AS53" s="28"/>
      <c r="AT53" s="66" t="s">
        <v>427</v>
      </c>
      <c r="AU53" s="28"/>
      <c r="AV53" s="28"/>
      <c r="AW53" s="66" t="s">
        <v>427</v>
      </c>
      <c r="AX53" s="28"/>
      <c r="AY53" s="28"/>
      <c r="AZ53" s="66" t="s">
        <v>427</v>
      </c>
      <c r="BA53" s="28"/>
      <c r="BB53" s="28"/>
      <c r="BC53" s="66" t="s">
        <v>427</v>
      </c>
      <c r="BD53" s="28"/>
      <c r="BE53" s="28"/>
      <c r="BF53" s="66" t="s">
        <v>427</v>
      </c>
      <c r="BG53" s="28"/>
      <c r="BH53" s="28"/>
      <c r="BI53" s="66" t="s">
        <v>427</v>
      </c>
      <c r="BJ53" s="28"/>
      <c r="BK53" s="28"/>
      <c r="BL53" s="66" t="s">
        <v>427</v>
      </c>
      <c r="BM53" s="28"/>
      <c r="BN53" s="28"/>
      <c r="BO53" s="66" t="s">
        <v>427</v>
      </c>
      <c r="BP53" s="28"/>
      <c r="BQ53" s="28"/>
      <c r="BR53" s="46">
        <v>13333333</v>
      </c>
      <c r="BS53" s="36"/>
      <c r="BT53" s="4"/>
      <c r="BU53" s="4"/>
      <c r="BV53" s="4"/>
      <c r="BW53" s="4"/>
      <c r="BX53" s="4"/>
    </row>
    <row r="54" ht="15.75" customHeight="1" spans="1:76">
      <c r="A54" s="31">
        <v>4441</v>
      </c>
      <c r="B54" s="24" t="s">
        <v>459</v>
      </c>
      <c r="C54" s="27" t="s">
        <v>414</v>
      </c>
      <c r="D54" s="33" t="s">
        <v>460</v>
      </c>
      <c r="E54" s="2"/>
      <c r="F54" s="2"/>
      <c r="G54" s="2"/>
      <c r="H54" s="2"/>
      <c r="I54" s="7"/>
      <c r="J54" s="31">
        <v>8</v>
      </c>
      <c r="K54" s="31">
        <v>1</v>
      </c>
      <c r="L54" s="35" t="s">
        <v>405</v>
      </c>
      <c r="M54" s="36">
        <v>15000000</v>
      </c>
      <c r="N54" s="36">
        <v>120000000</v>
      </c>
      <c r="O54" s="36">
        <v>40000000</v>
      </c>
      <c r="P54" s="36"/>
      <c r="Q54" s="36"/>
      <c r="R54" s="36">
        <v>40000000</v>
      </c>
      <c r="S54" s="36"/>
      <c r="T54" s="36"/>
      <c r="U54" s="66" t="s">
        <v>427</v>
      </c>
      <c r="V54" s="66"/>
      <c r="W54" s="66"/>
      <c r="X54" s="66" t="s">
        <v>427</v>
      </c>
      <c r="Y54" s="66"/>
      <c r="Z54" s="66"/>
      <c r="AA54" s="66" t="s">
        <v>427</v>
      </c>
      <c r="AB54" s="66"/>
      <c r="AC54" s="66"/>
      <c r="AD54" s="66" t="s">
        <v>427</v>
      </c>
      <c r="AE54" s="66"/>
      <c r="AF54" s="66"/>
      <c r="AG54" s="66" t="s">
        <v>427</v>
      </c>
      <c r="AH54" s="66"/>
      <c r="AI54" s="66"/>
      <c r="AJ54" s="66" t="s">
        <v>427</v>
      </c>
      <c r="AK54" s="66"/>
      <c r="AL54" s="66"/>
      <c r="AM54" s="66" t="s">
        <v>427</v>
      </c>
      <c r="AN54" s="66"/>
      <c r="AO54" s="66"/>
      <c r="AP54" s="36">
        <v>80000000</v>
      </c>
      <c r="AQ54" s="36">
        <v>40000000</v>
      </c>
      <c r="AR54" s="66"/>
      <c r="AS54" s="66"/>
      <c r="AT54" s="66" t="s">
        <v>427</v>
      </c>
      <c r="AU54" s="66"/>
      <c r="AV54" s="66"/>
      <c r="AW54" s="66" t="s">
        <v>427</v>
      </c>
      <c r="AX54" s="66"/>
      <c r="AY54" s="66"/>
      <c r="AZ54" s="66" t="s">
        <v>427</v>
      </c>
      <c r="BA54" s="66"/>
      <c r="BB54" s="66"/>
      <c r="BC54" s="66" t="s">
        <v>427</v>
      </c>
      <c r="BD54" s="66"/>
      <c r="BE54" s="66"/>
      <c r="BF54" s="66" t="s">
        <v>427</v>
      </c>
      <c r="BG54" s="66"/>
      <c r="BH54" s="66"/>
      <c r="BI54" s="66" t="s">
        <v>427</v>
      </c>
      <c r="BJ54" s="66"/>
      <c r="BK54" s="66"/>
      <c r="BL54" s="66" t="s">
        <v>427</v>
      </c>
      <c r="BM54" s="66"/>
      <c r="BN54" s="66"/>
      <c r="BO54" s="66" t="s">
        <v>427</v>
      </c>
      <c r="BP54" s="66"/>
      <c r="BQ54" s="66"/>
      <c r="BR54" s="46">
        <v>40000000</v>
      </c>
      <c r="BS54" s="36"/>
      <c r="BT54" s="4"/>
      <c r="BU54" s="4"/>
      <c r="BV54" s="4"/>
      <c r="BW54" s="4"/>
      <c r="BX54" s="4"/>
    </row>
    <row r="55" ht="15.75" customHeight="1" spans="1:76">
      <c r="A55" s="24"/>
      <c r="B55" s="47">
        <v>4.5</v>
      </c>
      <c r="C55" s="24"/>
      <c r="D55" s="26" t="s">
        <v>461</v>
      </c>
      <c r="E55" s="2"/>
      <c r="F55" s="2"/>
      <c r="G55" s="2"/>
      <c r="H55" s="2"/>
      <c r="I55" s="7"/>
      <c r="J55" s="24"/>
      <c r="K55" s="24"/>
      <c r="L55" s="24"/>
      <c r="M55" s="28"/>
      <c r="N55" s="29">
        <f t="shared" ref="N55:BR55" si="97">N56</f>
        <v>100000000</v>
      </c>
      <c r="O55" s="29">
        <f t="shared" si="97"/>
        <v>33333333</v>
      </c>
      <c r="P55" s="29" t="e">
        <f t="shared" si="97"/>
        <v>#REF!</v>
      </c>
      <c r="Q55" s="29" t="e">
        <f t="shared" si="97"/>
        <v>#REF!</v>
      </c>
      <c r="R55" s="29">
        <f t="shared" si="97"/>
        <v>33333333</v>
      </c>
      <c r="S55" s="29" t="e">
        <f t="shared" si="97"/>
        <v>#REF!</v>
      </c>
      <c r="T55" s="29" t="e">
        <f t="shared" si="97"/>
        <v>#REF!</v>
      </c>
      <c r="U55" s="29">
        <f t="shared" si="97"/>
        <v>0</v>
      </c>
      <c r="V55" s="29">
        <f t="shared" si="97"/>
        <v>0</v>
      </c>
      <c r="W55" s="29" t="e">
        <f t="shared" si="97"/>
        <v>#REF!</v>
      </c>
      <c r="X55" s="29">
        <f t="shared" si="97"/>
        <v>0</v>
      </c>
      <c r="Y55" s="29">
        <f t="shared" si="97"/>
        <v>0</v>
      </c>
      <c r="Z55" s="29" t="e">
        <f t="shared" si="97"/>
        <v>#REF!</v>
      </c>
      <c r="AA55" s="29">
        <f t="shared" si="97"/>
        <v>0</v>
      </c>
      <c r="AB55" s="29">
        <f t="shared" si="97"/>
        <v>0</v>
      </c>
      <c r="AC55" s="29" t="e">
        <f t="shared" si="97"/>
        <v>#REF!</v>
      </c>
      <c r="AD55" s="29">
        <f t="shared" si="97"/>
        <v>0</v>
      </c>
      <c r="AE55" s="29">
        <f t="shared" si="97"/>
        <v>90000000</v>
      </c>
      <c r="AF55" s="29" t="e">
        <f t="shared" si="97"/>
        <v>#REF!</v>
      </c>
      <c r="AG55" s="29">
        <f t="shared" si="97"/>
        <v>0</v>
      </c>
      <c r="AH55" s="29">
        <f t="shared" si="97"/>
        <v>0</v>
      </c>
      <c r="AI55" s="29" t="e">
        <f t="shared" si="97"/>
        <v>#REF!</v>
      </c>
      <c r="AJ55" s="29">
        <f t="shared" si="97"/>
        <v>0</v>
      </c>
      <c r="AK55" s="29">
        <f t="shared" si="97"/>
        <v>0</v>
      </c>
      <c r="AL55" s="29" t="e">
        <f t="shared" si="97"/>
        <v>#REF!</v>
      </c>
      <c r="AM55" s="29">
        <f t="shared" si="97"/>
        <v>0</v>
      </c>
      <c r="AN55" s="29">
        <f t="shared" si="97"/>
        <v>0</v>
      </c>
      <c r="AO55" s="29" t="e">
        <f t="shared" si="97"/>
        <v>#REF!</v>
      </c>
      <c r="AP55" s="29">
        <f t="shared" si="97"/>
        <v>66666667</v>
      </c>
      <c r="AQ55" s="29">
        <f t="shared" si="97"/>
        <v>33333333</v>
      </c>
      <c r="AR55" s="29">
        <f t="shared" si="97"/>
        <v>0</v>
      </c>
      <c r="AS55" s="29" t="e">
        <f t="shared" si="97"/>
        <v>#REF!</v>
      </c>
      <c r="AT55" s="29">
        <f t="shared" si="97"/>
        <v>0</v>
      </c>
      <c r="AU55" s="29">
        <f t="shared" si="97"/>
        <v>0</v>
      </c>
      <c r="AV55" s="29" t="e">
        <f t="shared" si="97"/>
        <v>#REF!</v>
      </c>
      <c r="AW55" s="29">
        <f t="shared" si="97"/>
        <v>0</v>
      </c>
      <c r="AX55" s="29">
        <f t="shared" si="97"/>
        <v>0</v>
      </c>
      <c r="AY55" s="29" t="e">
        <f t="shared" si="97"/>
        <v>#REF!</v>
      </c>
      <c r="AZ55" s="29">
        <f t="shared" si="97"/>
        <v>0</v>
      </c>
      <c r="BA55" s="29">
        <f t="shared" si="97"/>
        <v>0</v>
      </c>
      <c r="BB55" s="29" t="e">
        <f t="shared" si="97"/>
        <v>#REF!</v>
      </c>
      <c r="BC55" s="29">
        <f t="shared" si="97"/>
        <v>0</v>
      </c>
      <c r="BD55" s="29">
        <f t="shared" si="97"/>
        <v>0</v>
      </c>
      <c r="BE55" s="29" t="e">
        <f t="shared" si="97"/>
        <v>#REF!</v>
      </c>
      <c r="BF55" s="29">
        <f t="shared" si="97"/>
        <v>0</v>
      </c>
      <c r="BG55" s="29">
        <f t="shared" si="97"/>
        <v>0</v>
      </c>
      <c r="BH55" s="29" t="e">
        <f t="shared" si="97"/>
        <v>#REF!</v>
      </c>
      <c r="BI55" s="29">
        <f t="shared" si="97"/>
        <v>0</v>
      </c>
      <c r="BJ55" s="29">
        <f t="shared" si="97"/>
        <v>0</v>
      </c>
      <c r="BK55" s="29" t="e">
        <f t="shared" si="97"/>
        <v>#REF!</v>
      </c>
      <c r="BL55" s="29">
        <f t="shared" si="97"/>
        <v>0</v>
      </c>
      <c r="BM55" s="29">
        <f t="shared" si="97"/>
        <v>0</v>
      </c>
      <c r="BN55" s="29" t="e">
        <f t="shared" si="97"/>
        <v>#REF!</v>
      </c>
      <c r="BO55" s="29">
        <f t="shared" si="97"/>
        <v>0</v>
      </c>
      <c r="BP55" s="29">
        <f t="shared" si="97"/>
        <v>0</v>
      </c>
      <c r="BQ55" s="29" t="e">
        <f t="shared" si="97"/>
        <v>#REF!</v>
      </c>
      <c r="BR55" s="30">
        <f t="shared" si="97"/>
        <v>33333333</v>
      </c>
      <c r="BS55" s="29"/>
      <c r="BT55" s="4"/>
      <c r="BU55" s="4"/>
      <c r="BV55" s="4"/>
      <c r="BW55" s="4"/>
      <c r="BX55" s="4"/>
    </row>
    <row r="56" ht="15.75" customHeight="1" spans="1:76">
      <c r="A56" s="31">
        <v>4491</v>
      </c>
      <c r="B56" s="27" t="s">
        <v>462</v>
      </c>
      <c r="C56" s="27" t="s">
        <v>414</v>
      </c>
      <c r="D56" s="33" t="s">
        <v>463</v>
      </c>
      <c r="E56" s="88" t="s">
        <v>464</v>
      </c>
      <c r="F56" s="2"/>
      <c r="G56" s="61"/>
      <c r="H56" s="2"/>
      <c r="I56" s="7"/>
      <c r="J56" s="31">
        <v>1</v>
      </c>
      <c r="K56" s="31">
        <v>1</v>
      </c>
      <c r="L56" s="35" t="s">
        <v>405</v>
      </c>
      <c r="M56" s="36">
        <v>100000000</v>
      </c>
      <c r="N56" s="36">
        <v>100000000</v>
      </c>
      <c r="O56" s="36">
        <v>33333333</v>
      </c>
      <c r="P56" s="38" t="e">
        <f>SUMIF(#REF!,$P$3&amp;B56,#REF!)</f>
        <v>#REF!</v>
      </c>
      <c r="Q56" s="78" t="e">
        <f>O56-P56</f>
        <v>#REF!</v>
      </c>
      <c r="R56" s="36">
        <v>33333333</v>
      </c>
      <c r="S56" s="38" t="e">
        <f>SUMIF(#REF!,$S$3&amp;B56,#REF!)</f>
        <v>#REF!</v>
      </c>
      <c r="T56" s="39" t="e">
        <f>Q56+R56-S56</f>
        <v>#REF!</v>
      </c>
      <c r="U56" s="66">
        <v>0</v>
      </c>
      <c r="V56" s="79">
        <v>0</v>
      </c>
      <c r="W56" s="78" t="e">
        <f>T56+U56-V56</f>
        <v>#REF!</v>
      </c>
      <c r="X56" s="85">
        <v>0</v>
      </c>
      <c r="Y56" s="79">
        <v>0</v>
      </c>
      <c r="Z56" s="80" t="e">
        <f>W56+X56-Y56</f>
        <v>#REF!</v>
      </c>
      <c r="AA56" s="85">
        <v>0</v>
      </c>
      <c r="AB56" s="79">
        <v>0</v>
      </c>
      <c r="AC56" s="80" t="e">
        <f>Z56+AA56-AB56</f>
        <v>#REF!</v>
      </c>
      <c r="AD56" s="85">
        <v>0</v>
      </c>
      <c r="AE56" s="79">
        <v>90000000</v>
      </c>
      <c r="AF56" s="89" t="e">
        <f>AC56+AD56-AE56</f>
        <v>#REF!</v>
      </c>
      <c r="AG56" s="85">
        <v>0</v>
      </c>
      <c r="AH56" s="79">
        <v>0</v>
      </c>
      <c r="AI56" s="89" t="e">
        <f>AF56+AG56-AH56</f>
        <v>#REF!</v>
      </c>
      <c r="AJ56" s="85">
        <v>0</v>
      </c>
      <c r="AK56" s="79">
        <v>0</v>
      </c>
      <c r="AL56" s="89" t="e">
        <f>AI56+AJ56-AK56</f>
        <v>#REF!</v>
      </c>
      <c r="AM56" s="85">
        <v>0</v>
      </c>
      <c r="AN56" s="51">
        <v>0</v>
      </c>
      <c r="AO56" s="89" t="e">
        <f>AL56+AM56-AN56</f>
        <v>#REF!</v>
      </c>
      <c r="AP56" s="36">
        <v>66666667</v>
      </c>
      <c r="AQ56" s="36">
        <v>33333333</v>
      </c>
      <c r="AR56" s="51">
        <v>0</v>
      </c>
      <c r="AS56" s="80" t="e">
        <f>AO56+AQ56-AR56</f>
        <v>#REF!</v>
      </c>
      <c r="AT56" s="85">
        <v>0</v>
      </c>
      <c r="AU56" s="51">
        <v>0</v>
      </c>
      <c r="AV56" s="80" t="e">
        <f>AS56+AT56-AU56</f>
        <v>#REF!</v>
      </c>
      <c r="AW56" s="85">
        <v>0</v>
      </c>
      <c r="AX56" s="51">
        <v>0</v>
      </c>
      <c r="AY56" s="80" t="e">
        <f>AV56+AW56-AX56</f>
        <v>#REF!</v>
      </c>
      <c r="AZ56" s="85">
        <v>0</v>
      </c>
      <c r="BA56" s="51">
        <v>0</v>
      </c>
      <c r="BB56" s="80" t="e">
        <f>AY56+AZ56-BA56</f>
        <v>#REF!</v>
      </c>
      <c r="BC56" s="85">
        <v>0</v>
      </c>
      <c r="BD56" s="51">
        <v>0</v>
      </c>
      <c r="BE56" s="80" t="e">
        <f>BB56+BC56-BD56</f>
        <v>#REF!</v>
      </c>
      <c r="BF56" s="85">
        <v>0</v>
      </c>
      <c r="BG56" s="51">
        <v>0</v>
      </c>
      <c r="BH56" s="80" t="e">
        <f>BE56+BF56-BG56</f>
        <v>#REF!</v>
      </c>
      <c r="BI56" s="85">
        <v>0</v>
      </c>
      <c r="BJ56" s="51">
        <v>0</v>
      </c>
      <c r="BK56" s="80" t="e">
        <f>BH56+BI56-BJ56</f>
        <v>#REF!</v>
      </c>
      <c r="BL56" s="85">
        <v>0</v>
      </c>
      <c r="BM56" s="51">
        <v>0</v>
      </c>
      <c r="BN56" s="80" t="e">
        <f>BK56+BL56-BM56</f>
        <v>#REF!</v>
      </c>
      <c r="BO56" s="85">
        <v>0</v>
      </c>
      <c r="BP56" s="51">
        <v>0</v>
      </c>
      <c r="BQ56" s="80" t="e">
        <f>BN56+BO56-BP56</f>
        <v>#REF!</v>
      </c>
      <c r="BR56" s="46">
        <v>33333333</v>
      </c>
      <c r="BS56" s="41" t="e">
        <f t="shared" ref="BS56:BS57" si="98">P56+S56+V56+Y56+AB56+AE56+AH56+AK56+AN56+AR56+AU56++AX56+BA56+BD56+BG56+BJ56+BM56+BP56</f>
        <v>#REF!</v>
      </c>
      <c r="BT56" s="4"/>
      <c r="BU56" s="4"/>
      <c r="BV56" s="4"/>
      <c r="BW56" s="4"/>
      <c r="BX56" s="4"/>
    </row>
    <row r="57" ht="15.75" customHeight="1" spans="1:76">
      <c r="A57" s="24"/>
      <c r="B57" s="56" t="s">
        <v>408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7"/>
      <c r="N57" s="57">
        <f t="shared" ref="N57:BR57" si="99">N29+N42+N44+N50+N55</f>
        <v>6336838000</v>
      </c>
      <c r="O57" s="57">
        <f t="shared" si="99"/>
        <v>2011914666</v>
      </c>
      <c r="P57" s="58" t="e">
        <f t="shared" si="99"/>
        <v>#REF!</v>
      </c>
      <c r="Q57" s="58" t="e">
        <f t="shared" si="99"/>
        <v>#REF!</v>
      </c>
      <c r="R57" s="57">
        <f t="shared" si="99"/>
        <v>1401736666</v>
      </c>
      <c r="S57" s="58" t="e">
        <f t="shared" si="99"/>
        <v>#REF!</v>
      </c>
      <c r="T57" s="58" t="e">
        <f t="shared" si="99"/>
        <v>#REF!</v>
      </c>
      <c r="U57" s="57">
        <f t="shared" si="99"/>
        <v>1080450000</v>
      </c>
      <c r="V57" s="58" t="e">
        <f t="shared" si="99"/>
        <v>#REF!</v>
      </c>
      <c r="W57" s="58" t="e">
        <f t="shared" si="99"/>
        <v>#REF!</v>
      </c>
      <c r="X57" s="57">
        <f t="shared" si="99"/>
        <v>31500000</v>
      </c>
      <c r="Y57" s="58" t="e">
        <f t="shared" si="99"/>
        <v>#REF!</v>
      </c>
      <c r="Z57" s="58" t="e">
        <f t="shared" si="99"/>
        <v>#REF!</v>
      </c>
      <c r="AA57" s="57">
        <f t="shared" si="99"/>
        <v>31500000</v>
      </c>
      <c r="AB57" s="58" t="e">
        <f t="shared" si="99"/>
        <v>#REF!</v>
      </c>
      <c r="AC57" s="58" t="e">
        <f t="shared" si="99"/>
        <v>#REF!</v>
      </c>
      <c r="AD57" s="57">
        <f t="shared" si="99"/>
        <v>31500000</v>
      </c>
      <c r="AE57" s="58" t="e">
        <f t="shared" si="99"/>
        <v>#REF!</v>
      </c>
      <c r="AF57" s="58" t="e">
        <f t="shared" si="99"/>
        <v>#REF!</v>
      </c>
      <c r="AG57" s="57">
        <f t="shared" si="99"/>
        <v>31500000</v>
      </c>
      <c r="AH57" s="58" t="e">
        <f t="shared" si="99"/>
        <v>#REF!</v>
      </c>
      <c r="AI57" s="58" t="e">
        <f t="shared" si="99"/>
        <v>#REF!</v>
      </c>
      <c r="AJ57" s="57">
        <f t="shared" si="99"/>
        <v>31500000</v>
      </c>
      <c r="AK57" s="58" t="e">
        <f t="shared" si="99"/>
        <v>#REF!</v>
      </c>
      <c r="AL57" s="58" t="e">
        <f t="shared" si="99"/>
        <v>#REF!</v>
      </c>
      <c r="AM57" s="57">
        <f t="shared" si="99"/>
        <v>31500000</v>
      </c>
      <c r="AN57" s="58" t="e">
        <f t="shared" si="99"/>
        <v>#REF!</v>
      </c>
      <c r="AO57" s="58" t="e">
        <f t="shared" si="99"/>
        <v>#REF!</v>
      </c>
      <c r="AP57" s="57">
        <f t="shared" si="99"/>
        <v>4683101334</v>
      </c>
      <c r="AQ57" s="57">
        <f t="shared" si="99"/>
        <v>1401736666</v>
      </c>
      <c r="AR57" s="58" t="e">
        <f t="shared" si="99"/>
        <v>#REF!</v>
      </c>
      <c r="AS57" s="58" t="e">
        <f t="shared" si="99"/>
        <v>#REF!</v>
      </c>
      <c r="AT57" s="57">
        <f t="shared" si="99"/>
        <v>31500000</v>
      </c>
      <c r="AU57" s="58" t="e">
        <f t="shared" si="99"/>
        <v>#REF!</v>
      </c>
      <c r="AV57" s="58" t="e">
        <f t="shared" si="99"/>
        <v>#REF!</v>
      </c>
      <c r="AW57" s="57">
        <f t="shared" si="99"/>
        <v>31500000</v>
      </c>
      <c r="AX57" s="58" t="e">
        <f t="shared" si="99"/>
        <v>#REF!</v>
      </c>
      <c r="AY57" s="58" t="e">
        <f t="shared" si="99"/>
        <v>#REF!</v>
      </c>
      <c r="AZ57" s="57">
        <f t="shared" si="99"/>
        <v>31500000</v>
      </c>
      <c r="BA57" s="58" t="e">
        <f t="shared" si="99"/>
        <v>#REF!</v>
      </c>
      <c r="BB57" s="58" t="e">
        <f t="shared" si="99"/>
        <v>#REF!</v>
      </c>
      <c r="BC57" s="57">
        <f t="shared" si="99"/>
        <v>31500000</v>
      </c>
      <c r="BD57" s="58" t="e">
        <f t="shared" si="99"/>
        <v>#REF!</v>
      </c>
      <c r="BE57" s="58" t="e">
        <f t="shared" si="99"/>
        <v>#REF!</v>
      </c>
      <c r="BF57" s="57">
        <f t="shared" si="99"/>
        <v>31500000</v>
      </c>
      <c r="BG57" s="58" t="e">
        <f t="shared" si="99"/>
        <v>#REF!</v>
      </c>
      <c r="BH57" s="58" t="e">
        <f t="shared" si="99"/>
        <v>#REF!</v>
      </c>
      <c r="BI57" s="57">
        <f t="shared" si="99"/>
        <v>31500000</v>
      </c>
      <c r="BJ57" s="58" t="e">
        <f t="shared" si="99"/>
        <v>#REF!</v>
      </c>
      <c r="BK57" s="58" t="e">
        <f t="shared" si="99"/>
        <v>#REF!</v>
      </c>
      <c r="BL57" s="57">
        <f t="shared" si="99"/>
        <v>31500000</v>
      </c>
      <c r="BM57" s="58" t="e">
        <f t="shared" si="99"/>
        <v>#REF!</v>
      </c>
      <c r="BN57" s="58" t="e">
        <f t="shared" si="99"/>
        <v>#REF!</v>
      </c>
      <c r="BO57" s="57">
        <f t="shared" si="99"/>
        <v>31500000</v>
      </c>
      <c r="BP57" s="58">
        <f t="shared" si="99"/>
        <v>0</v>
      </c>
      <c r="BQ57" s="58" t="e">
        <f t="shared" si="99"/>
        <v>#REF!</v>
      </c>
      <c r="BR57" s="59">
        <f t="shared" si="99"/>
        <v>1653736666</v>
      </c>
      <c r="BS57" s="58" t="e">
        <f t="shared" si="98"/>
        <v>#REF!</v>
      </c>
      <c r="BT57" s="4"/>
      <c r="BU57" s="4"/>
      <c r="BV57" s="4"/>
      <c r="BW57" s="4"/>
      <c r="BX57" s="4"/>
    </row>
    <row r="58" ht="15.75" customHeight="1" spans="1:76">
      <c r="A58" s="15"/>
      <c r="B58" s="16" t="s">
        <v>414</v>
      </c>
      <c r="C58" s="15"/>
      <c r="D58" s="23" t="s">
        <v>465</v>
      </c>
      <c r="E58" s="2"/>
      <c r="F58" s="2"/>
      <c r="G58" s="2"/>
      <c r="H58" s="2"/>
      <c r="I58" s="2"/>
      <c r="J58" s="2"/>
      <c r="K58" s="2"/>
      <c r="L58" s="2"/>
      <c r="M58" s="2"/>
      <c r="N58" s="7"/>
      <c r="O58" s="15"/>
      <c r="P58" s="15"/>
      <c r="Q58" s="15"/>
      <c r="R58" s="15"/>
      <c r="S58" s="15"/>
      <c r="T58" s="15"/>
      <c r="U58" s="20"/>
      <c r="V58" s="20"/>
      <c r="W58" s="20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22"/>
      <c r="BS58" s="15"/>
      <c r="BT58" s="4"/>
      <c r="BU58" s="4"/>
      <c r="BV58" s="4"/>
      <c r="BW58" s="4"/>
      <c r="BX58" s="4"/>
    </row>
    <row r="59" ht="15.75" customHeight="1" spans="1:76">
      <c r="A59" s="24"/>
      <c r="B59" s="47">
        <v>5.1</v>
      </c>
      <c r="C59" s="24"/>
      <c r="D59" s="26" t="s">
        <v>466</v>
      </c>
      <c r="E59" s="2"/>
      <c r="F59" s="2"/>
      <c r="G59" s="2"/>
      <c r="H59" s="2"/>
      <c r="I59" s="7"/>
      <c r="J59" s="24"/>
      <c r="K59" s="24"/>
      <c r="L59" s="24"/>
      <c r="M59" s="28"/>
      <c r="N59" s="29">
        <f t="shared" ref="N59:BR59" si="100">SUM(N60:N62)</f>
        <v>288000000</v>
      </c>
      <c r="O59" s="29">
        <f t="shared" si="100"/>
        <v>254000000</v>
      </c>
      <c r="P59" s="29" t="e">
        <f t="shared" si="100"/>
        <v>#REF!</v>
      </c>
      <c r="Q59" s="29" t="e">
        <f t="shared" si="100"/>
        <v>#REF!</v>
      </c>
      <c r="R59" s="29">
        <f t="shared" si="100"/>
        <v>2000000</v>
      </c>
      <c r="S59" s="29" t="e">
        <f t="shared" si="100"/>
        <v>#REF!</v>
      </c>
      <c r="T59" s="29" t="e">
        <f t="shared" si="100"/>
        <v>#REF!</v>
      </c>
      <c r="U59" s="29">
        <f t="shared" si="100"/>
        <v>2000000</v>
      </c>
      <c r="V59" s="29">
        <f t="shared" si="100"/>
        <v>0</v>
      </c>
      <c r="W59" s="29" t="e">
        <f t="shared" si="100"/>
        <v>#REF!</v>
      </c>
      <c r="X59" s="29">
        <f t="shared" si="100"/>
        <v>2000000</v>
      </c>
      <c r="Y59" s="29" t="e">
        <f t="shared" si="100"/>
        <v>#REF!</v>
      </c>
      <c r="Z59" s="29" t="e">
        <f t="shared" si="100"/>
        <v>#REF!</v>
      </c>
      <c r="AA59" s="29">
        <f t="shared" si="100"/>
        <v>2000000</v>
      </c>
      <c r="AB59" s="29">
        <f t="shared" si="100"/>
        <v>0</v>
      </c>
      <c r="AC59" s="29" t="e">
        <f t="shared" si="100"/>
        <v>#REF!</v>
      </c>
      <c r="AD59" s="29">
        <f t="shared" si="100"/>
        <v>2000000</v>
      </c>
      <c r="AE59" s="29" t="e">
        <f t="shared" si="100"/>
        <v>#REF!</v>
      </c>
      <c r="AF59" s="29" t="e">
        <f t="shared" si="100"/>
        <v>#REF!</v>
      </c>
      <c r="AG59" s="29">
        <f t="shared" si="100"/>
        <v>2000000</v>
      </c>
      <c r="AH59" s="29" t="e">
        <f t="shared" si="100"/>
        <v>#REF!</v>
      </c>
      <c r="AI59" s="29" t="e">
        <f t="shared" si="100"/>
        <v>#REF!</v>
      </c>
      <c r="AJ59" s="29">
        <f t="shared" si="100"/>
        <v>2000000</v>
      </c>
      <c r="AK59" s="29">
        <f t="shared" si="100"/>
        <v>0</v>
      </c>
      <c r="AL59" s="29" t="e">
        <f t="shared" si="100"/>
        <v>#REF!</v>
      </c>
      <c r="AM59" s="29">
        <f t="shared" si="100"/>
        <v>2000000</v>
      </c>
      <c r="AN59" s="29" t="e">
        <f t="shared" si="100"/>
        <v>#REF!</v>
      </c>
      <c r="AO59" s="29" t="e">
        <f t="shared" si="100"/>
        <v>#REF!</v>
      </c>
      <c r="AP59" s="29">
        <f t="shared" si="100"/>
        <v>270000000</v>
      </c>
      <c r="AQ59" s="29">
        <f t="shared" si="100"/>
        <v>2000000</v>
      </c>
      <c r="AR59" s="29" t="e">
        <f t="shared" si="100"/>
        <v>#REF!</v>
      </c>
      <c r="AS59" s="29" t="e">
        <f t="shared" si="100"/>
        <v>#REF!</v>
      </c>
      <c r="AT59" s="29">
        <f t="shared" si="100"/>
        <v>2000000</v>
      </c>
      <c r="AU59" s="29" t="e">
        <f t="shared" si="100"/>
        <v>#REF!</v>
      </c>
      <c r="AV59" s="29" t="e">
        <f t="shared" si="100"/>
        <v>#REF!</v>
      </c>
      <c r="AW59" s="29">
        <f t="shared" si="100"/>
        <v>2000000</v>
      </c>
      <c r="AX59" s="29" t="e">
        <f t="shared" si="100"/>
        <v>#REF!</v>
      </c>
      <c r="AY59" s="29" t="e">
        <f t="shared" si="100"/>
        <v>#REF!</v>
      </c>
      <c r="AZ59" s="29">
        <f t="shared" si="100"/>
        <v>2000000</v>
      </c>
      <c r="BA59" s="29">
        <f t="shared" si="100"/>
        <v>0</v>
      </c>
      <c r="BB59" s="29" t="e">
        <f t="shared" si="100"/>
        <v>#REF!</v>
      </c>
      <c r="BC59" s="29">
        <f t="shared" si="100"/>
        <v>2000000</v>
      </c>
      <c r="BD59" s="29">
        <f t="shared" si="100"/>
        <v>0</v>
      </c>
      <c r="BE59" s="29" t="e">
        <f t="shared" si="100"/>
        <v>#REF!</v>
      </c>
      <c r="BF59" s="29">
        <f t="shared" si="100"/>
        <v>2000000</v>
      </c>
      <c r="BG59" s="29">
        <f t="shared" si="100"/>
        <v>0</v>
      </c>
      <c r="BH59" s="29" t="e">
        <f t="shared" si="100"/>
        <v>#REF!</v>
      </c>
      <c r="BI59" s="29">
        <f t="shared" si="100"/>
        <v>2000000</v>
      </c>
      <c r="BJ59" s="29">
        <f t="shared" si="100"/>
        <v>0</v>
      </c>
      <c r="BK59" s="29" t="e">
        <f t="shared" si="100"/>
        <v>#REF!</v>
      </c>
      <c r="BL59" s="29">
        <f t="shared" si="100"/>
        <v>2000000</v>
      </c>
      <c r="BM59" s="29">
        <f t="shared" si="100"/>
        <v>0</v>
      </c>
      <c r="BN59" s="29" t="e">
        <f t="shared" si="100"/>
        <v>#REF!</v>
      </c>
      <c r="BO59" s="29">
        <f t="shared" si="100"/>
        <v>2000000</v>
      </c>
      <c r="BP59" s="29" t="e">
        <f t="shared" si="100"/>
        <v>#REF!</v>
      </c>
      <c r="BQ59" s="29" t="e">
        <f t="shared" si="100"/>
        <v>#REF!</v>
      </c>
      <c r="BR59" s="30">
        <f t="shared" si="100"/>
        <v>18000000</v>
      </c>
      <c r="BS59" s="29"/>
      <c r="BT59" s="4"/>
      <c r="BU59" s="4"/>
      <c r="BV59" s="4"/>
      <c r="BW59" s="4"/>
      <c r="BX59" s="4"/>
    </row>
    <row r="60" ht="15.75" customHeight="1" spans="1:76">
      <c r="A60" s="31">
        <v>4512</v>
      </c>
      <c r="B60" s="27" t="s">
        <v>467</v>
      </c>
      <c r="C60" s="27" t="s">
        <v>414</v>
      </c>
      <c r="D60" s="33" t="s">
        <v>468</v>
      </c>
      <c r="E60" s="2"/>
      <c r="F60" s="2"/>
      <c r="G60" s="2"/>
      <c r="H60" s="2"/>
      <c r="I60" s="7"/>
      <c r="J60" s="31">
        <v>18</v>
      </c>
      <c r="K60" s="31">
        <v>1</v>
      </c>
      <c r="L60" s="35" t="s">
        <v>469</v>
      </c>
      <c r="M60" s="36">
        <v>14000000</v>
      </c>
      <c r="N60" s="36">
        <v>252000000</v>
      </c>
      <c r="O60" s="36">
        <v>252000000</v>
      </c>
      <c r="P60" s="38" t="e">
        <f>SUMIF(#REF!,$P$3&amp;B60,#REF!)</f>
        <v>#REF!</v>
      </c>
      <c r="Q60" s="39" t="e">
        <f t="shared" ref="Q60:Q62" si="101">O60-P60</f>
        <v>#REF!</v>
      </c>
      <c r="R60" s="66">
        <v>0</v>
      </c>
      <c r="S60" s="38" t="e">
        <f>SUMIF(#REF!,$S$3&amp;B60,#REF!)</f>
        <v>#REF!</v>
      </c>
      <c r="T60" s="39" t="e">
        <f t="shared" ref="T60:T62" si="102">Q60+R60-S60</f>
        <v>#REF!</v>
      </c>
      <c r="U60" s="66">
        <v>0</v>
      </c>
      <c r="V60" s="38">
        <v>0</v>
      </c>
      <c r="W60" s="39" t="e">
        <f t="shared" ref="W60:W62" si="103">T60+U60-V60</f>
        <v>#REF!</v>
      </c>
      <c r="X60" s="66">
        <v>0</v>
      </c>
      <c r="Y60" s="38">
        <v>0</v>
      </c>
      <c r="Z60" s="39" t="e">
        <f t="shared" ref="Z60:Z62" si="104">W60+X60-Y60</f>
        <v>#REF!</v>
      </c>
      <c r="AA60" s="66">
        <v>0</v>
      </c>
      <c r="AB60" s="38">
        <v>0</v>
      </c>
      <c r="AC60" s="67" t="e">
        <f t="shared" ref="AC60:AC62" si="105">Z60+AA60-AB60</f>
        <v>#REF!</v>
      </c>
      <c r="AD60" s="66">
        <v>0</v>
      </c>
      <c r="AE60" s="38">
        <v>0</v>
      </c>
      <c r="AF60" s="67" t="e">
        <f t="shared" ref="AF60:AF62" si="106">AC60+AD60-AE60</f>
        <v>#REF!</v>
      </c>
      <c r="AG60" s="66">
        <v>0</v>
      </c>
      <c r="AH60" s="69" t="e">
        <f>#REF!+#REF!</f>
        <v>#REF!</v>
      </c>
      <c r="AI60" s="67" t="e">
        <f t="shared" ref="AI60:AI62" si="107">AF60+AG60-AH60</f>
        <v>#REF!</v>
      </c>
      <c r="AJ60" s="85">
        <v>0</v>
      </c>
      <c r="AK60" s="79">
        <v>0</v>
      </c>
      <c r="AL60" s="80" t="e">
        <f t="shared" ref="AL60:AL62" si="108">AI60+AJ60-AK60</f>
        <v>#REF!</v>
      </c>
      <c r="AM60" s="85">
        <v>0</v>
      </c>
      <c r="AN60" s="51" t="e">
        <f>#REF!+#REF!</f>
        <v>#REF!</v>
      </c>
      <c r="AO60" s="80" t="e">
        <f t="shared" ref="AO60:AO62" si="109">AL60+AM60-AN60</f>
        <v>#REF!</v>
      </c>
      <c r="AP60" s="36">
        <v>252000000</v>
      </c>
      <c r="AQ60" s="85">
        <v>0</v>
      </c>
      <c r="AR60" s="51" t="e">
        <f>#REF!+#REF!</f>
        <v>#REF!</v>
      </c>
      <c r="AS60" s="80" t="e">
        <f t="shared" ref="AS60:AS62" si="110">AO60+AQ60-AR60</f>
        <v>#REF!</v>
      </c>
      <c r="AT60" s="85">
        <v>0</v>
      </c>
      <c r="AU60" s="51" t="e">
        <f>#REF!</f>
        <v>#REF!</v>
      </c>
      <c r="AV60" s="80" t="e">
        <f t="shared" ref="AV60:AV62" si="111">AS60+AT60-AU60</f>
        <v>#REF!</v>
      </c>
      <c r="AW60" s="85">
        <v>0</v>
      </c>
      <c r="AX60" s="51" t="e">
        <f>#REF!</f>
        <v>#REF!</v>
      </c>
      <c r="AY60" s="80" t="e">
        <f t="shared" ref="AY60:AY62" si="112">AV60+AW60-AX60</f>
        <v>#REF!</v>
      </c>
      <c r="AZ60" s="85">
        <v>0</v>
      </c>
      <c r="BA60" s="51">
        <v>0</v>
      </c>
      <c r="BB60" s="80" t="e">
        <f t="shared" ref="BB60:BB62" si="113">AY60+AZ60-BA60</f>
        <v>#REF!</v>
      </c>
      <c r="BC60" s="85">
        <v>0</v>
      </c>
      <c r="BD60" s="51">
        <v>0</v>
      </c>
      <c r="BE60" s="80" t="e">
        <f t="shared" ref="BE60:BE62" si="114">BB60+BC60-BD60</f>
        <v>#REF!</v>
      </c>
      <c r="BF60" s="85">
        <v>0</v>
      </c>
      <c r="BG60" s="51">
        <v>0</v>
      </c>
      <c r="BH60" s="80" t="e">
        <f t="shared" ref="BH60:BH62" si="115">BE60+BF60-BG60</f>
        <v>#REF!</v>
      </c>
      <c r="BI60" s="85">
        <v>0</v>
      </c>
      <c r="BJ60" s="51">
        <v>0</v>
      </c>
      <c r="BK60" s="80" t="e">
        <f t="shared" ref="BK60:BK62" si="116">BH60+BI60-BJ60</f>
        <v>#REF!</v>
      </c>
      <c r="BL60" s="85">
        <v>0</v>
      </c>
      <c r="BM60" s="51">
        <v>0</v>
      </c>
      <c r="BN60" s="80" t="e">
        <f t="shared" ref="BN60:BN62" si="117">BK60+BL60-BM60</f>
        <v>#REF!</v>
      </c>
      <c r="BO60" s="85">
        <v>0</v>
      </c>
      <c r="BP60" s="51" t="e">
        <f>#REF!</f>
        <v>#REF!</v>
      </c>
      <c r="BQ60" s="80" t="e">
        <f t="shared" ref="BQ60:BQ62" si="118">BN60+BO60-BP60</f>
        <v>#REF!</v>
      </c>
      <c r="BR60" s="90">
        <v>0</v>
      </c>
      <c r="BS60" s="41" t="e">
        <f t="shared" ref="BS60:BS62" si="119">P60+S60+V60+Y60+AB60+AE60+AH60+AK60+AN60+AR60+AU60++AX60+BA60+BD60+BG60+BJ60+BM60+BP60</f>
        <v>#REF!</v>
      </c>
      <c r="BT60" s="4"/>
      <c r="BU60" s="4"/>
      <c r="BV60" s="4"/>
      <c r="BW60" s="4"/>
      <c r="BX60" s="4"/>
    </row>
    <row r="61" ht="15.75" customHeight="1" spans="1:76">
      <c r="A61" s="31">
        <v>4515</v>
      </c>
      <c r="B61" s="27" t="s">
        <v>470</v>
      </c>
      <c r="C61" s="27" t="s">
        <v>414</v>
      </c>
      <c r="D61" s="33" t="s">
        <v>471</v>
      </c>
      <c r="E61" s="2"/>
      <c r="F61" s="2"/>
      <c r="G61" s="2"/>
      <c r="H61" s="2"/>
      <c r="I61" s="7"/>
      <c r="J61" s="31">
        <v>18</v>
      </c>
      <c r="K61" s="31">
        <v>1</v>
      </c>
      <c r="L61" s="35" t="s">
        <v>472</v>
      </c>
      <c r="M61" s="36">
        <v>1500000</v>
      </c>
      <c r="N61" s="36">
        <v>27000000</v>
      </c>
      <c r="O61" s="36">
        <v>1500000</v>
      </c>
      <c r="P61" s="38" t="e">
        <f>SUMIF(#REF!,$P$3&amp;B61,#REF!)</f>
        <v>#REF!</v>
      </c>
      <c r="Q61" s="39" t="e">
        <f t="shared" si="101"/>
        <v>#REF!</v>
      </c>
      <c r="R61" s="36">
        <v>1500000</v>
      </c>
      <c r="S61" s="38" t="e">
        <f>SUMIF(#REF!,$S$3&amp;B61,#REF!)</f>
        <v>#REF!</v>
      </c>
      <c r="T61" s="39" t="e">
        <f t="shared" si="102"/>
        <v>#REF!</v>
      </c>
      <c r="U61" s="36">
        <v>1500000</v>
      </c>
      <c r="V61" s="38">
        <v>0</v>
      </c>
      <c r="W61" s="39" t="e">
        <f t="shared" si="103"/>
        <v>#REF!</v>
      </c>
      <c r="X61" s="36">
        <v>1500000</v>
      </c>
      <c r="Y61" s="38" t="e">
        <f>#REF!+#REF!+#REF!+#REF!+#REF!</f>
        <v>#REF!</v>
      </c>
      <c r="Z61" s="67" t="e">
        <f t="shared" si="104"/>
        <v>#REF!</v>
      </c>
      <c r="AA61" s="36">
        <v>1500000</v>
      </c>
      <c r="AB61" s="38">
        <v>0</v>
      </c>
      <c r="AC61" s="67" t="e">
        <f t="shared" si="105"/>
        <v>#REF!</v>
      </c>
      <c r="AD61" s="36">
        <v>1500000</v>
      </c>
      <c r="AE61" s="38" t="e">
        <f>#REF!</f>
        <v>#REF!</v>
      </c>
      <c r="AF61" s="39" t="e">
        <f t="shared" si="106"/>
        <v>#REF!</v>
      </c>
      <c r="AG61" s="48">
        <v>1500000</v>
      </c>
      <c r="AH61" s="50" t="e">
        <f>#REF!+#REF!+#REF!</f>
        <v>#REF!</v>
      </c>
      <c r="AI61" s="72" t="e">
        <f t="shared" si="107"/>
        <v>#REF!</v>
      </c>
      <c r="AJ61" s="36">
        <v>1500000</v>
      </c>
      <c r="AK61" s="79">
        <v>0</v>
      </c>
      <c r="AL61" s="89" t="e">
        <f t="shared" si="108"/>
        <v>#REF!</v>
      </c>
      <c r="AM61" s="36">
        <v>1500000</v>
      </c>
      <c r="AN61" s="51" t="e">
        <f>#REF!</f>
        <v>#REF!</v>
      </c>
      <c r="AO61" s="89" t="e">
        <f t="shared" si="109"/>
        <v>#REF!</v>
      </c>
      <c r="AP61" s="36">
        <v>13500000</v>
      </c>
      <c r="AQ61" s="36">
        <v>1500000</v>
      </c>
      <c r="AR61" s="51" t="e">
        <f>#REF!+#REF!</f>
        <v>#REF!</v>
      </c>
      <c r="AS61" s="89" t="e">
        <f t="shared" si="110"/>
        <v>#REF!</v>
      </c>
      <c r="AT61" s="36">
        <v>1500000</v>
      </c>
      <c r="AU61" s="51" t="e">
        <f>#REF!</f>
        <v>#REF!</v>
      </c>
      <c r="AV61" s="89" t="e">
        <f t="shared" si="111"/>
        <v>#REF!</v>
      </c>
      <c r="AW61" s="36">
        <v>1500000</v>
      </c>
      <c r="AX61" s="51" t="e">
        <f>#REF!</f>
        <v>#REF!</v>
      </c>
      <c r="AY61" s="89" t="e">
        <f t="shared" si="112"/>
        <v>#REF!</v>
      </c>
      <c r="AZ61" s="36">
        <v>1500000</v>
      </c>
      <c r="BA61" s="51">
        <v>0</v>
      </c>
      <c r="BB61" s="89" t="e">
        <f t="shared" si="113"/>
        <v>#REF!</v>
      </c>
      <c r="BC61" s="36">
        <v>1500000</v>
      </c>
      <c r="BD61" s="51">
        <v>0</v>
      </c>
      <c r="BE61" s="89" t="e">
        <f t="shared" si="114"/>
        <v>#REF!</v>
      </c>
      <c r="BF61" s="36">
        <v>1500000</v>
      </c>
      <c r="BG61" s="51">
        <v>0</v>
      </c>
      <c r="BH61" s="80" t="e">
        <f t="shared" si="115"/>
        <v>#REF!</v>
      </c>
      <c r="BI61" s="36">
        <v>1500000</v>
      </c>
      <c r="BJ61" s="51">
        <v>0</v>
      </c>
      <c r="BK61" s="80" t="e">
        <f t="shared" si="116"/>
        <v>#REF!</v>
      </c>
      <c r="BL61" s="36">
        <v>1500000</v>
      </c>
      <c r="BM61" s="51">
        <v>0</v>
      </c>
      <c r="BN61" s="80" t="e">
        <f t="shared" si="117"/>
        <v>#REF!</v>
      </c>
      <c r="BO61" s="36">
        <v>1500000</v>
      </c>
      <c r="BP61" s="51">
        <v>0</v>
      </c>
      <c r="BQ61" s="80" t="e">
        <f t="shared" si="118"/>
        <v>#REF!</v>
      </c>
      <c r="BR61" s="46">
        <v>13500000</v>
      </c>
      <c r="BS61" s="41" t="e">
        <f t="shared" si="119"/>
        <v>#REF!</v>
      </c>
      <c r="BT61" s="4"/>
      <c r="BU61" s="4"/>
      <c r="BV61" s="4"/>
      <c r="BW61" s="4"/>
      <c r="BX61" s="4"/>
    </row>
    <row r="62" ht="15.75" customHeight="1" spans="1:76">
      <c r="A62" s="31">
        <v>4515</v>
      </c>
      <c r="B62" s="27" t="s">
        <v>473</v>
      </c>
      <c r="C62" s="27" t="s">
        <v>414</v>
      </c>
      <c r="D62" s="33" t="s">
        <v>474</v>
      </c>
      <c r="E62" s="2"/>
      <c r="F62" s="2"/>
      <c r="G62" s="2"/>
      <c r="H62" s="2"/>
      <c r="I62" s="7"/>
      <c r="J62" s="31">
        <v>18</v>
      </c>
      <c r="K62" s="31">
        <v>1</v>
      </c>
      <c r="L62" s="35" t="s">
        <v>472</v>
      </c>
      <c r="M62" s="36">
        <v>500000</v>
      </c>
      <c r="N62" s="36">
        <v>9000000</v>
      </c>
      <c r="O62" s="36">
        <v>500000</v>
      </c>
      <c r="P62" s="38" t="e">
        <f>SUMIF(#REF!,$P$3&amp;B62,#REF!)</f>
        <v>#REF!</v>
      </c>
      <c r="Q62" s="39" t="e">
        <f t="shared" si="101"/>
        <v>#REF!</v>
      </c>
      <c r="R62" s="36">
        <v>500000</v>
      </c>
      <c r="S62" s="38" t="e">
        <f>SUMIF(#REF!,$S$3&amp;B62,#REF!)</f>
        <v>#REF!</v>
      </c>
      <c r="T62" s="39" t="e">
        <f t="shared" si="102"/>
        <v>#REF!</v>
      </c>
      <c r="U62" s="36">
        <v>500000</v>
      </c>
      <c r="V62" s="38">
        <v>0</v>
      </c>
      <c r="W62" s="39" t="e">
        <f t="shared" si="103"/>
        <v>#REF!</v>
      </c>
      <c r="X62" s="36">
        <v>500000</v>
      </c>
      <c r="Y62" s="38">
        <v>0</v>
      </c>
      <c r="Z62" s="39" t="e">
        <f t="shared" si="104"/>
        <v>#REF!</v>
      </c>
      <c r="AA62" s="36">
        <v>500000</v>
      </c>
      <c r="AB62" s="38">
        <v>0</v>
      </c>
      <c r="AC62" s="67" t="e">
        <f t="shared" si="105"/>
        <v>#REF!</v>
      </c>
      <c r="AD62" s="36">
        <v>500000</v>
      </c>
      <c r="AE62" s="38">
        <v>0</v>
      </c>
      <c r="AF62" s="67" t="e">
        <f t="shared" si="106"/>
        <v>#REF!</v>
      </c>
      <c r="AG62" s="36">
        <v>500000</v>
      </c>
      <c r="AH62" s="51" t="e">
        <f>#REF!</f>
        <v>#REF!</v>
      </c>
      <c r="AI62" s="67" t="e">
        <f t="shared" si="107"/>
        <v>#REF!</v>
      </c>
      <c r="AJ62" s="36">
        <v>500000</v>
      </c>
      <c r="AK62" s="79">
        <v>0</v>
      </c>
      <c r="AL62" s="80" t="e">
        <f t="shared" si="108"/>
        <v>#REF!</v>
      </c>
      <c r="AM62" s="36">
        <v>500000</v>
      </c>
      <c r="AN62" s="51">
        <v>0</v>
      </c>
      <c r="AO62" s="80" t="e">
        <f t="shared" si="109"/>
        <v>#REF!</v>
      </c>
      <c r="AP62" s="36">
        <v>4500000</v>
      </c>
      <c r="AQ62" s="36">
        <v>500000</v>
      </c>
      <c r="AR62" s="51">
        <v>0</v>
      </c>
      <c r="AS62" s="80" t="e">
        <f t="shared" si="110"/>
        <v>#REF!</v>
      </c>
      <c r="AT62" s="36">
        <v>500000</v>
      </c>
      <c r="AU62" s="51">
        <v>0</v>
      </c>
      <c r="AV62" s="80" t="e">
        <f t="shared" si="111"/>
        <v>#REF!</v>
      </c>
      <c r="AW62" s="36">
        <v>500000</v>
      </c>
      <c r="AX62" s="51">
        <v>0</v>
      </c>
      <c r="AY62" s="80" t="e">
        <f t="shared" si="112"/>
        <v>#REF!</v>
      </c>
      <c r="AZ62" s="36">
        <v>500000</v>
      </c>
      <c r="BA62" s="51">
        <v>0</v>
      </c>
      <c r="BB62" s="80" t="e">
        <f t="shared" si="113"/>
        <v>#REF!</v>
      </c>
      <c r="BC62" s="36">
        <v>500000</v>
      </c>
      <c r="BD62" s="51">
        <v>0</v>
      </c>
      <c r="BE62" s="80" t="e">
        <f t="shared" si="114"/>
        <v>#REF!</v>
      </c>
      <c r="BF62" s="36">
        <v>500000</v>
      </c>
      <c r="BG62" s="51">
        <v>0</v>
      </c>
      <c r="BH62" s="80" t="e">
        <f t="shared" si="115"/>
        <v>#REF!</v>
      </c>
      <c r="BI62" s="36">
        <v>500000</v>
      </c>
      <c r="BJ62" s="51">
        <v>0</v>
      </c>
      <c r="BK62" s="80" t="e">
        <f t="shared" si="116"/>
        <v>#REF!</v>
      </c>
      <c r="BL62" s="36">
        <v>500000</v>
      </c>
      <c r="BM62" s="51">
        <v>0</v>
      </c>
      <c r="BN62" s="80" t="e">
        <f t="shared" si="117"/>
        <v>#REF!</v>
      </c>
      <c r="BO62" s="36">
        <v>500000</v>
      </c>
      <c r="BP62" s="51">
        <v>0</v>
      </c>
      <c r="BQ62" s="80" t="e">
        <f t="shared" si="118"/>
        <v>#REF!</v>
      </c>
      <c r="BR62" s="46">
        <v>4500000</v>
      </c>
      <c r="BS62" s="41" t="e">
        <f t="shared" si="119"/>
        <v>#REF!</v>
      </c>
      <c r="BT62" s="4"/>
      <c r="BU62" s="4"/>
      <c r="BV62" s="4"/>
      <c r="BW62" s="4"/>
      <c r="BX62" s="4"/>
    </row>
    <row r="63" ht="15.75" customHeight="1" spans="1:76">
      <c r="A63" s="24"/>
      <c r="B63" s="24"/>
      <c r="C63" s="24"/>
      <c r="D63" s="54"/>
      <c r="E63" s="2"/>
      <c r="F63" s="2"/>
      <c r="G63" s="2"/>
      <c r="H63" s="2"/>
      <c r="I63" s="7"/>
      <c r="J63" s="24"/>
      <c r="K63" s="24"/>
      <c r="L63" s="24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55"/>
      <c r="BS63" s="28"/>
      <c r="BT63" s="4"/>
      <c r="BU63" s="4"/>
      <c r="BV63" s="4"/>
      <c r="BW63" s="4"/>
      <c r="BX63" s="4"/>
    </row>
    <row r="64" ht="15.75" customHeight="1" spans="1:76">
      <c r="A64" s="24"/>
      <c r="B64" s="24"/>
      <c r="C64" s="24"/>
      <c r="D64" s="54"/>
      <c r="E64" s="2"/>
      <c r="F64" s="2"/>
      <c r="G64" s="2"/>
      <c r="H64" s="2"/>
      <c r="I64" s="7"/>
      <c r="J64" s="24"/>
      <c r="K64" s="24"/>
      <c r="L64" s="24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55"/>
      <c r="BS64" s="28"/>
      <c r="BT64" s="4"/>
      <c r="BU64" s="4"/>
      <c r="BV64" s="4"/>
      <c r="BW64" s="4"/>
      <c r="BX64" s="4"/>
    </row>
    <row r="65" ht="15.75" customHeight="1" spans="1:76">
      <c r="A65" s="24"/>
      <c r="B65" s="24"/>
      <c r="C65" s="24"/>
      <c r="D65" s="54"/>
      <c r="E65" s="2"/>
      <c r="F65" s="2"/>
      <c r="G65" s="2"/>
      <c r="H65" s="2"/>
      <c r="I65" s="7"/>
      <c r="J65" s="24"/>
      <c r="K65" s="24"/>
      <c r="L65" s="24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55"/>
      <c r="BS65" s="28"/>
      <c r="BT65" s="4"/>
      <c r="BU65" s="4"/>
      <c r="BV65" s="4"/>
      <c r="BW65" s="4"/>
      <c r="BX65" s="4"/>
    </row>
    <row r="66" ht="15.75" customHeight="1" spans="1:76">
      <c r="A66" s="24"/>
      <c r="B66" s="47">
        <v>5.4</v>
      </c>
      <c r="C66" s="24"/>
      <c r="D66" s="26" t="s">
        <v>475</v>
      </c>
      <c r="E66" s="2"/>
      <c r="F66" s="2"/>
      <c r="G66" s="2"/>
      <c r="H66" s="2"/>
      <c r="I66" s="7"/>
      <c r="J66" s="24"/>
      <c r="K66" s="24"/>
      <c r="L66" s="24"/>
      <c r="M66" s="28"/>
      <c r="N66" s="29">
        <f t="shared" ref="N66:BR66" si="120">SUM(N67:N68)</f>
        <v>2025000000</v>
      </c>
      <c r="O66" s="29">
        <f t="shared" si="120"/>
        <v>675000000</v>
      </c>
      <c r="P66" s="29" t="e">
        <f t="shared" si="120"/>
        <v>#REF!</v>
      </c>
      <c r="Q66" s="29" t="e">
        <f t="shared" si="120"/>
        <v>#REF!</v>
      </c>
      <c r="R66" s="29">
        <f t="shared" si="120"/>
        <v>675000000</v>
      </c>
      <c r="S66" s="29" t="e">
        <f t="shared" si="120"/>
        <v>#REF!</v>
      </c>
      <c r="T66" s="29" t="e">
        <f t="shared" si="120"/>
        <v>#REF!</v>
      </c>
      <c r="U66" s="29">
        <f t="shared" si="120"/>
        <v>0</v>
      </c>
      <c r="V66" s="29" t="e">
        <f t="shared" si="120"/>
        <v>#REF!</v>
      </c>
      <c r="W66" s="29" t="e">
        <f t="shared" si="120"/>
        <v>#REF!</v>
      </c>
      <c r="X66" s="29">
        <f t="shared" si="120"/>
        <v>0</v>
      </c>
      <c r="Y66" s="29" t="e">
        <f t="shared" si="120"/>
        <v>#REF!</v>
      </c>
      <c r="Z66" s="29" t="e">
        <f t="shared" si="120"/>
        <v>#REF!</v>
      </c>
      <c r="AA66" s="29">
        <f t="shared" si="120"/>
        <v>0</v>
      </c>
      <c r="AB66" s="29" t="e">
        <f t="shared" si="120"/>
        <v>#REF!</v>
      </c>
      <c r="AC66" s="29" t="e">
        <f t="shared" si="120"/>
        <v>#REF!</v>
      </c>
      <c r="AD66" s="29">
        <f t="shared" si="120"/>
        <v>0</v>
      </c>
      <c r="AE66" s="29" t="e">
        <f t="shared" si="120"/>
        <v>#REF!</v>
      </c>
      <c r="AF66" s="29" t="e">
        <f t="shared" si="120"/>
        <v>#REF!</v>
      </c>
      <c r="AG66" s="29">
        <f t="shared" si="120"/>
        <v>0</v>
      </c>
      <c r="AH66" s="29" t="e">
        <f t="shared" si="120"/>
        <v>#REF!</v>
      </c>
      <c r="AI66" s="29" t="e">
        <f t="shared" si="120"/>
        <v>#REF!</v>
      </c>
      <c r="AJ66" s="29">
        <f t="shared" si="120"/>
        <v>0</v>
      </c>
      <c r="AK66" s="29" t="e">
        <f t="shared" si="120"/>
        <v>#REF!</v>
      </c>
      <c r="AL66" s="29" t="e">
        <f t="shared" si="120"/>
        <v>#REF!</v>
      </c>
      <c r="AM66" s="29">
        <f t="shared" si="120"/>
        <v>0</v>
      </c>
      <c r="AN66" s="29" t="e">
        <f t="shared" si="120"/>
        <v>#REF!</v>
      </c>
      <c r="AO66" s="29" t="e">
        <f t="shared" si="120"/>
        <v>#REF!</v>
      </c>
      <c r="AP66" s="29">
        <f t="shared" si="120"/>
        <v>1350000000</v>
      </c>
      <c r="AQ66" s="29">
        <f t="shared" si="120"/>
        <v>675000000</v>
      </c>
      <c r="AR66" s="29" t="e">
        <f t="shared" si="120"/>
        <v>#REF!</v>
      </c>
      <c r="AS66" s="29" t="e">
        <f t="shared" si="120"/>
        <v>#REF!</v>
      </c>
      <c r="AT66" s="29">
        <f t="shared" si="120"/>
        <v>0</v>
      </c>
      <c r="AU66" s="29" t="e">
        <f t="shared" si="120"/>
        <v>#REF!</v>
      </c>
      <c r="AV66" s="29" t="e">
        <f t="shared" si="120"/>
        <v>#REF!</v>
      </c>
      <c r="AW66" s="29">
        <f t="shared" si="120"/>
        <v>0</v>
      </c>
      <c r="AX66" s="29" t="e">
        <f t="shared" si="120"/>
        <v>#REF!</v>
      </c>
      <c r="AY66" s="29" t="e">
        <f t="shared" si="120"/>
        <v>#REF!</v>
      </c>
      <c r="AZ66" s="29">
        <f t="shared" si="120"/>
        <v>0</v>
      </c>
      <c r="BA66" s="29" t="e">
        <f t="shared" si="120"/>
        <v>#REF!</v>
      </c>
      <c r="BB66" s="29" t="e">
        <f t="shared" si="120"/>
        <v>#REF!</v>
      </c>
      <c r="BC66" s="29">
        <f t="shared" si="120"/>
        <v>0</v>
      </c>
      <c r="BD66" s="29" t="e">
        <f t="shared" si="120"/>
        <v>#REF!</v>
      </c>
      <c r="BE66" s="29" t="e">
        <f t="shared" si="120"/>
        <v>#REF!</v>
      </c>
      <c r="BF66" s="29">
        <f t="shared" si="120"/>
        <v>0</v>
      </c>
      <c r="BG66" s="29" t="e">
        <f t="shared" si="120"/>
        <v>#REF!</v>
      </c>
      <c r="BH66" s="29" t="e">
        <f t="shared" si="120"/>
        <v>#REF!</v>
      </c>
      <c r="BI66" s="29">
        <f t="shared" si="120"/>
        <v>0</v>
      </c>
      <c r="BJ66" s="29" t="e">
        <f t="shared" si="120"/>
        <v>#REF!</v>
      </c>
      <c r="BK66" s="29" t="e">
        <f t="shared" si="120"/>
        <v>#REF!</v>
      </c>
      <c r="BL66" s="29">
        <f t="shared" si="120"/>
        <v>0</v>
      </c>
      <c r="BM66" s="29" t="e">
        <f t="shared" si="120"/>
        <v>#REF!</v>
      </c>
      <c r="BN66" s="29" t="e">
        <f t="shared" si="120"/>
        <v>#REF!</v>
      </c>
      <c r="BO66" s="29">
        <f t="shared" si="120"/>
        <v>0</v>
      </c>
      <c r="BP66" s="29" t="e">
        <f t="shared" si="120"/>
        <v>#REF!</v>
      </c>
      <c r="BQ66" s="29" t="e">
        <f t="shared" si="120"/>
        <v>#REF!</v>
      </c>
      <c r="BR66" s="30">
        <f t="shared" si="120"/>
        <v>675000000</v>
      </c>
      <c r="BS66" s="29"/>
      <c r="BT66" s="4"/>
      <c r="BU66" s="4"/>
      <c r="BV66" s="4"/>
      <c r="BW66" s="4"/>
      <c r="BX66" s="4"/>
    </row>
    <row r="67" ht="15.75" customHeight="1" spans="1:76">
      <c r="A67" s="31">
        <v>4542</v>
      </c>
      <c r="B67" s="27" t="s">
        <v>476</v>
      </c>
      <c r="C67" s="27" t="s">
        <v>414</v>
      </c>
      <c r="D67" s="33" t="s">
        <v>477</v>
      </c>
      <c r="E67" s="2"/>
      <c r="F67" s="2"/>
      <c r="G67" s="2"/>
      <c r="H67" s="2"/>
      <c r="I67" s="7"/>
      <c r="J67" s="31">
        <v>18</v>
      </c>
      <c r="K67" s="31">
        <v>5</v>
      </c>
      <c r="L67" s="35" t="s">
        <v>469</v>
      </c>
      <c r="M67" s="36">
        <v>18000000</v>
      </c>
      <c r="N67" s="36">
        <v>1620000000</v>
      </c>
      <c r="O67" s="36">
        <v>540000000</v>
      </c>
      <c r="P67" s="38" t="e">
        <f>SUMIF(#REF!,$P$3&amp;B67,#REF!)</f>
        <v>#REF!</v>
      </c>
      <c r="Q67" s="39" t="e">
        <f t="shared" ref="Q67:Q68" si="121">O67-P67</f>
        <v>#REF!</v>
      </c>
      <c r="R67" s="36">
        <v>540000000</v>
      </c>
      <c r="S67" s="38" t="e">
        <f>SUMIF(#REF!,$S$3&amp;B67,#REF!)</f>
        <v>#REF!</v>
      </c>
      <c r="T67" s="39" t="e">
        <f t="shared" ref="T67:T68" si="122">Q67+R67-S67</f>
        <v>#REF!</v>
      </c>
      <c r="U67" s="66">
        <v>0</v>
      </c>
      <c r="V67" s="38" t="e">
        <f>#REF!</f>
        <v>#REF!</v>
      </c>
      <c r="W67" s="39" t="e">
        <f t="shared" ref="W67:W68" si="123">T67+U67-V67</f>
        <v>#REF!</v>
      </c>
      <c r="X67" s="66">
        <v>0</v>
      </c>
      <c r="Y67" s="38" t="e">
        <f>#REF!</f>
        <v>#REF!</v>
      </c>
      <c r="Z67" s="39" t="e">
        <f t="shared" ref="Z67:Z68" si="124">W67+X67-Y67</f>
        <v>#REF!</v>
      </c>
      <c r="AA67" s="66">
        <v>0</v>
      </c>
      <c r="AB67" s="38" t="e">
        <f>#REF!</f>
        <v>#REF!</v>
      </c>
      <c r="AC67" s="67" t="e">
        <f t="shared" ref="AC67:AC68" si="125">Z67+AA67-AB67</f>
        <v>#REF!</v>
      </c>
      <c r="AD67" s="66">
        <v>0</v>
      </c>
      <c r="AE67" s="38" t="e">
        <f>#REF!</f>
        <v>#REF!</v>
      </c>
      <c r="AF67" s="67" t="e">
        <f t="shared" ref="AF67:AF68" si="126">AC67+AD67-AE67</f>
        <v>#REF!</v>
      </c>
      <c r="AG67" s="66">
        <v>0</v>
      </c>
      <c r="AH67" s="51" t="e">
        <f>#REF!</f>
        <v>#REF!</v>
      </c>
      <c r="AI67" s="67" t="e">
        <f t="shared" ref="AI67:AI68" si="127">AF67+AG67-AH67</f>
        <v>#REF!</v>
      </c>
      <c r="AJ67" s="85">
        <v>0</v>
      </c>
      <c r="AK67" s="79" t="e">
        <f>#REF!</f>
        <v>#REF!</v>
      </c>
      <c r="AL67" s="80" t="e">
        <f t="shared" ref="AL67:AL68" si="128">AI67+AJ67-AK67</f>
        <v>#REF!</v>
      </c>
      <c r="AM67" s="85">
        <v>0</v>
      </c>
      <c r="AN67" s="51" t="e">
        <f>#REF!</f>
        <v>#REF!</v>
      </c>
      <c r="AO67" s="80" t="e">
        <f t="shared" ref="AO67:AO68" si="129">AL67+AM67-AN67</f>
        <v>#REF!</v>
      </c>
      <c r="AP67" s="36">
        <v>1080000000</v>
      </c>
      <c r="AQ67" s="36">
        <v>540000000</v>
      </c>
      <c r="AR67" s="51" t="e">
        <f>#REF!</f>
        <v>#REF!</v>
      </c>
      <c r="AS67" s="80" t="e">
        <f t="shared" ref="AS67:AS68" si="130">AO67+AQ67-AR67</f>
        <v>#REF!</v>
      </c>
      <c r="AT67" s="85">
        <v>0</v>
      </c>
      <c r="AU67" s="51" t="e">
        <f>#REF!</f>
        <v>#REF!</v>
      </c>
      <c r="AV67" s="80" t="e">
        <f t="shared" ref="AV67:AV68" si="131">AS67+AT67-AU67</f>
        <v>#REF!</v>
      </c>
      <c r="AW67" s="85">
        <v>0</v>
      </c>
      <c r="AX67" s="51" t="e">
        <f>#REF!</f>
        <v>#REF!</v>
      </c>
      <c r="AY67" s="80" t="e">
        <f t="shared" ref="AY67:AY68" si="132">AV67+AW67-AX67</f>
        <v>#REF!</v>
      </c>
      <c r="AZ67" s="85">
        <v>0</v>
      </c>
      <c r="BA67" s="51" t="e">
        <f>#REF!</f>
        <v>#REF!</v>
      </c>
      <c r="BB67" s="80" t="e">
        <f t="shared" ref="BB67:BB68" si="133">AY67+AZ67-BA67</f>
        <v>#REF!</v>
      </c>
      <c r="BC67" s="85">
        <v>0</v>
      </c>
      <c r="BD67" s="51" t="e">
        <f>#REF!</f>
        <v>#REF!</v>
      </c>
      <c r="BE67" s="80" t="e">
        <f t="shared" ref="BE67:BE68" si="134">BB67+BC67-BD67</f>
        <v>#REF!</v>
      </c>
      <c r="BF67" s="85">
        <v>0</v>
      </c>
      <c r="BG67" s="51" t="e">
        <f>#REF!</f>
        <v>#REF!</v>
      </c>
      <c r="BH67" s="80" t="e">
        <f t="shared" ref="BH67:BH68" si="135">BE67+BF67-BG67</f>
        <v>#REF!</v>
      </c>
      <c r="BI67" s="85">
        <v>0</v>
      </c>
      <c r="BJ67" s="51" t="e">
        <f>#REF!</f>
        <v>#REF!</v>
      </c>
      <c r="BK67" s="80" t="e">
        <f t="shared" ref="BK67:BK68" si="136">BH67+BI67-BJ67</f>
        <v>#REF!</v>
      </c>
      <c r="BL67" s="85">
        <v>0</v>
      </c>
      <c r="BM67" s="51" t="e">
        <f>#REF!</f>
        <v>#REF!</v>
      </c>
      <c r="BN67" s="80" t="e">
        <f t="shared" ref="BN67:BN68" si="137">BK67+BL67-BM67</f>
        <v>#REF!</v>
      </c>
      <c r="BO67" s="85">
        <v>0</v>
      </c>
      <c r="BP67" s="51" t="e">
        <f>#REF!</f>
        <v>#REF!</v>
      </c>
      <c r="BQ67" s="80" t="e">
        <f t="shared" ref="BQ67:BQ68" si="138">BN67+BO67-BP67</f>
        <v>#REF!</v>
      </c>
      <c r="BR67" s="46">
        <v>540000000</v>
      </c>
      <c r="BS67" s="41" t="e">
        <f t="shared" ref="BS67:BS68" si="139">P67+S67+V67+Y67+AB67+AE67+AH67+AK67+AN67+AR67+AU67++AX67+BA67+BD67+BG67+BJ67+BM67+BP67</f>
        <v>#REF!</v>
      </c>
      <c r="BT67" s="76">
        <v>1170450000</v>
      </c>
      <c r="BU67" s="76">
        <v>324000000</v>
      </c>
      <c r="BV67" s="76">
        <f>BT67-BU67</f>
        <v>846450000</v>
      </c>
      <c r="BW67" s="4"/>
      <c r="BX67" s="4"/>
    </row>
    <row r="68" ht="15.75" customHeight="1" spans="1:76">
      <c r="A68" s="31">
        <v>4545</v>
      </c>
      <c r="B68" s="27" t="s">
        <v>478</v>
      </c>
      <c r="C68" s="27" t="s">
        <v>414</v>
      </c>
      <c r="D68" s="33" t="s">
        <v>479</v>
      </c>
      <c r="E68" s="2"/>
      <c r="F68" s="2"/>
      <c r="G68" s="2"/>
      <c r="H68" s="2"/>
      <c r="I68" s="7"/>
      <c r="J68" s="31">
        <v>18</v>
      </c>
      <c r="K68" s="91">
        <v>1500</v>
      </c>
      <c r="L68" s="35" t="s">
        <v>480</v>
      </c>
      <c r="M68" s="36">
        <v>15000</v>
      </c>
      <c r="N68" s="36">
        <v>405000000</v>
      </c>
      <c r="O68" s="36">
        <v>135000000</v>
      </c>
      <c r="P68" s="38" t="e">
        <f>SUMIF(#REF!,$P$3&amp;B68,#REF!)</f>
        <v>#REF!</v>
      </c>
      <c r="Q68" s="39" t="e">
        <f t="shared" si="121"/>
        <v>#REF!</v>
      </c>
      <c r="R68" s="36">
        <v>135000000</v>
      </c>
      <c r="S68" s="38" t="e">
        <f>SUMIF(#REF!,$S$3&amp;B68,#REF!)</f>
        <v>#REF!</v>
      </c>
      <c r="T68" s="39" t="e">
        <f t="shared" si="122"/>
        <v>#REF!</v>
      </c>
      <c r="U68" s="66">
        <v>0</v>
      </c>
      <c r="V68" s="68">
        <v>0</v>
      </c>
      <c r="W68" s="39" t="e">
        <f t="shared" si="123"/>
        <v>#REF!</v>
      </c>
      <c r="X68" s="66">
        <v>0</v>
      </c>
      <c r="Y68" s="68" t="e">
        <f>#REF!+#REF!+#REF!+#REF!+#REF!+#REF!+#REF!+#REF!+#REF!+#REF!+#REF!+#REF!+#REF!+#REF!+#REF!</f>
        <v>#REF!</v>
      </c>
      <c r="Z68" s="67" t="e">
        <f t="shared" si="124"/>
        <v>#REF!</v>
      </c>
      <c r="AA68" s="66">
        <v>0</v>
      </c>
      <c r="AB68" s="68" t="e">
        <f>#REF!+#REF!+#REF!+#REF!+#REF!</f>
        <v>#REF!</v>
      </c>
      <c r="AC68" s="67" t="e">
        <f t="shared" si="125"/>
        <v>#REF!</v>
      </c>
      <c r="AD68" s="66">
        <v>0</v>
      </c>
      <c r="AE68" s="68" t="e">
        <f>#REF!+#REF!+#REF!+#REF!+#REF!+#REF!</f>
        <v>#REF!</v>
      </c>
      <c r="AF68" s="39" t="e">
        <f t="shared" si="126"/>
        <v>#REF!</v>
      </c>
      <c r="AG68" s="66">
        <v>0</v>
      </c>
      <c r="AH68" s="69" t="e">
        <f>#REF!+#REF!+#REF!+#REF!+#REF!</f>
        <v>#REF!</v>
      </c>
      <c r="AI68" s="67" t="e">
        <f t="shared" si="127"/>
        <v>#REF!</v>
      </c>
      <c r="AJ68" s="85">
        <v>0</v>
      </c>
      <c r="AK68" s="79">
        <v>0</v>
      </c>
      <c r="AL68" s="80" t="e">
        <f t="shared" si="128"/>
        <v>#REF!</v>
      </c>
      <c r="AM68" s="85">
        <v>0</v>
      </c>
      <c r="AN68" s="51" t="e">
        <f>#REF!+#REF!</f>
        <v>#REF!</v>
      </c>
      <c r="AO68" s="80" t="e">
        <f t="shared" si="129"/>
        <v>#REF!</v>
      </c>
      <c r="AP68" s="36">
        <v>270000000</v>
      </c>
      <c r="AQ68" s="36">
        <v>135000000</v>
      </c>
      <c r="AR68" s="51" t="e">
        <f>#REF!+#REF!+#REF!+#REF!</f>
        <v>#REF!</v>
      </c>
      <c r="AS68" s="80" t="e">
        <f t="shared" si="130"/>
        <v>#REF!</v>
      </c>
      <c r="AT68" s="85">
        <v>0</v>
      </c>
      <c r="AU68" s="51" t="e">
        <f>#REF!</f>
        <v>#REF!</v>
      </c>
      <c r="AV68" s="80" t="e">
        <f t="shared" si="131"/>
        <v>#REF!</v>
      </c>
      <c r="AW68" s="85">
        <v>0</v>
      </c>
      <c r="AX68" s="51" t="e">
        <f>#REF!+#REF!+#REF!+#REF!+#REF!+#REF!+#REF!+#REF!+#REF!</f>
        <v>#REF!</v>
      </c>
      <c r="AY68" s="80" t="e">
        <f t="shared" si="132"/>
        <v>#REF!</v>
      </c>
      <c r="AZ68" s="85">
        <v>0</v>
      </c>
      <c r="BA68" s="51">
        <v>0</v>
      </c>
      <c r="BB68" s="80" t="e">
        <f t="shared" si="133"/>
        <v>#REF!</v>
      </c>
      <c r="BC68" s="85">
        <v>0</v>
      </c>
      <c r="BD68" s="51">
        <v>0</v>
      </c>
      <c r="BE68" s="80" t="e">
        <f t="shared" si="134"/>
        <v>#REF!</v>
      </c>
      <c r="BF68" s="85">
        <v>0</v>
      </c>
      <c r="BG68" s="51">
        <v>0</v>
      </c>
      <c r="BH68" s="80" t="e">
        <f t="shared" si="135"/>
        <v>#REF!</v>
      </c>
      <c r="BI68" s="85">
        <v>0</v>
      </c>
      <c r="BJ68" s="51">
        <v>0</v>
      </c>
      <c r="BK68" s="80" t="e">
        <f t="shared" si="136"/>
        <v>#REF!</v>
      </c>
      <c r="BL68" s="85">
        <v>0</v>
      </c>
      <c r="BM68" s="51">
        <v>0</v>
      </c>
      <c r="BN68" s="80" t="e">
        <f t="shared" si="137"/>
        <v>#REF!</v>
      </c>
      <c r="BO68" s="85">
        <v>0</v>
      </c>
      <c r="BP68" s="51">
        <v>0</v>
      </c>
      <c r="BQ68" s="80" t="e">
        <f t="shared" si="138"/>
        <v>#REF!</v>
      </c>
      <c r="BR68" s="46">
        <v>135000000</v>
      </c>
      <c r="BS68" s="41" t="e">
        <f t="shared" si="139"/>
        <v>#REF!</v>
      </c>
      <c r="BT68" s="76"/>
      <c r="BU68" s="4"/>
      <c r="BV68" s="4"/>
      <c r="BW68" s="4"/>
      <c r="BX68" s="4"/>
    </row>
    <row r="69" ht="15.75" customHeight="1" spans="1:76">
      <c r="A69" s="24"/>
      <c r="B69" s="24"/>
      <c r="C69" s="24"/>
      <c r="D69" s="54"/>
      <c r="E69" s="2"/>
      <c r="F69" s="2"/>
      <c r="G69" s="2"/>
      <c r="H69" s="2"/>
      <c r="I69" s="7"/>
      <c r="J69" s="24"/>
      <c r="K69" s="24"/>
      <c r="L69" s="24"/>
      <c r="M69" s="28"/>
      <c r="N69" s="92">
        <v>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55"/>
      <c r="BS69" s="28"/>
      <c r="BT69" s="4"/>
      <c r="BU69" s="4"/>
      <c r="BV69" s="4"/>
      <c r="BW69" s="4"/>
      <c r="BX69" s="4"/>
    </row>
    <row r="70" ht="15.75" customHeight="1" spans="1:76">
      <c r="A70" s="24"/>
      <c r="B70" s="47">
        <v>5.5</v>
      </c>
      <c r="C70" s="24"/>
      <c r="D70" s="26" t="s">
        <v>481</v>
      </c>
      <c r="E70" s="2"/>
      <c r="F70" s="2"/>
      <c r="G70" s="2"/>
      <c r="H70" s="2"/>
      <c r="I70" s="7"/>
      <c r="J70" s="24"/>
      <c r="K70" s="24"/>
      <c r="L70" s="24"/>
      <c r="M70" s="28"/>
      <c r="N70" s="29">
        <f t="shared" ref="N70:BR70" si="140">N71</f>
        <v>68400000</v>
      </c>
      <c r="O70" s="29">
        <f t="shared" si="140"/>
        <v>68400000</v>
      </c>
      <c r="P70" s="29" t="e">
        <f t="shared" si="140"/>
        <v>#REF!</v>
      </c>
      <c r="Q70" s="29" t="e">
        <f t="shared" si="140"/>
        <v>#REF!</v>
      </c>
      <c r="R70" s="29">
        <f t="shared" si="140"/>
        <v>0</v>
      </c>
      <c r="S70" s="29" t="e">
        <f t="shared" si="140"/>
        <v>#REF!</v>
      </c>
      <c r="T70" s="29" t="e">
        <f t="shared" si="140"/>
        <v>#REF!</v>
      </c>
      <c r="U70" s="29">
        <f t="shared" si="140"/>
        <v>0</v>
      </c>
      <c r="V70" s="29" t="e">
        <f t="shared" si="140"/>
        <v>#REF!</v>
      </c>
      <c r="W70" s="29" t="e">
        <f t="shared" si="140"/>
        <v>#REF!</v>
      </c>
      <c r="X70" s="29">
        <f t="shared" si="140"/>
        <v>0</v>
      </c>
      <c r="Y70" s="29" t="e">
        <f t="shared" si="140"/>
        <v>#REF!</v>
      </c>
      <c r="Z70" s="29" t="e">
        <f t="shared" si="140"/>
        <v>#REF!</v>
      </c>
      <c r="AA70" s="29">
        <f t="shared" si="140"/>
        <v>0</v>
      </c>
      <c r="AB70" s="29">
        <f t="shared" si="140"/>
        <v>0</v>
      </c>
      <c r="AC70" s="29" t="e">
        <f t="shared" si="140"/>
        <v>#REF!</v>
      </c>
      <c r="AD70" s="29">
        <f t="shared" si="140"/>
        <v>0</v>
      </c>
      <c r="AE70" s="29" t="e">
        <f t="shared" si="140"/>
        <v>#REF!</v>
      </c>
      <c r="AF70" s="29" t="e">
        <f t="shared" si="140"/>
        <v>#REF!</v>
      </c>
      <c r="AG70" s="29">
        <f t="shared" si="140"/>
        <v>0</v>
      </c>
      <c r="AH70" s="29">
        <f t="shared" si="140"/>
        <v>0</v>
      </c>
      <c r="AI70" s="29" t="e">
        <f t="shared" si="140"/>
        <v>#REF!</v>
      </c>
      <c r="AJ70" s="29">
        <f t="shared" si="140"/>
        <v>0</v>
      </c>
      <c r="AK70" s="29">
        <f t="shared" si="140"/>
        <v>0</v>
      </c>
      <c r="AL70" s="29" t="e">
        <f t="shared" si="140"/>
        <v>#REF!</v>
      </c>
      <c r="AM70" s="29">
        <f t="shared" si="140"/>
        <v>0</v>
      </c>
      <c r="AN70" s="29">
        <f t="shared" si="140"/>
        <v>0</v>
      </c>
      <c r="AO70" s="29" t="e">
        <f t="shared" si="140"/>
        <v>#REF!</v>
      </c>
      <c r="AP70" s="29">
        <f t="shared" si="140"/>
        <v>68400000</v>
      </c>
      <c r="AQ70" s="29">
        <f t="shared" si="140"/>
        <v>0</v>
      </c>
      <c r="AR70" s="29">
        <f t="shared" si="140"/>
        <v>0</v>
      </c>
      <c r="AS70" s="29" t="e">
        <f t="shared" si="140"/>
        <v>#REF!</v>
      </c>
      <c r="AT70" s="29">
        <f t="shared" si="140"/>
        <v>0</v>
      </c>
      <c r="AU70" s="29">
        <f t="shared" si="140"/>
        <v>0</v>
      </c>
      <c r="AV70" s="29" t="e">
        <f t="shared" si="140"/>
        <v>#REF!</v>
      </c>
      <c r="AW70" s="29">
        <f t="shared" si="140"/>
        <v>0</v>
      </c>
      <c r="AX70" s="29">
        <f t="shared" si="140"/>
        <v>0</v>
      </c>
      <c r="AY70" s="29" t="e">
        <f t="shared" si="140"/>
        <v>#REF!</v>
      </c>
      <c r="AZ70" s="29">
        <f t="shared" si="140"/>
        <v>0</v>
      </c>
      <c r="BA70" s="29">
        <f t="shared" si="140"/>
        <v>0</v>
      </c>
      <c r="BB70" s="29" t="e">
        <f t="shared" si="140"/>
        <v>#REF!</v>
      </c>
      <c r="BC70" s="29">
        <f t="shared" si="140"/>
        <v>0</v>
      </c>
      <c r="BD70" s="29">
        <f t="shared" si="140"/>
        <v>0</v>
      </c>
      <c r="BE70" s="29" t="e">
        <f t="shared" si="140"/>
        <v>#REF!</v>
      </c>
      <c r="BF70" s="29">
        <f t="shared" si="140"/>
        <v>0</v>
      </c>
      <c r="BG70" s="29">
        <f t="shared" si="140"/>
        <v>0</v>
      </c>
      <c r="BH70" s="29" t="e">
        <f t="shared" si="140"/>
        <v>#REF!</v>
      </c>
      <c r="BI70" s="29">
        <f t="shared" si="140"/>
        <v>0</v>
      </c>
      <c r="BJ70" s="29">
        <f t="shared" si="140"/>
        <v>0</v>
      </c>
      <c r="BK70" s="29" t="e">
        <f t="shared" si="140"/>
        <v>#REF!</v>
      </c>
      <c r="BL70" s="29">
        <f t="shared" si="140"/>
        <v>0</v>
      </c>
      <c r="BM70" s="29">
        <f t="shared" si="140"/>
        <v>0</v>
      </c>
      <c r="BN70" s="29" t="e">
        <f t="shared" si="140"/>
        <v>#REF!</v>
      </c>
      <c r="BO70" s="29">
        <f t="shared" si="140"/>
        <v>0</v>
      </c>
      <c r="BP70" s="29">
        <f t="shared" si="140"/>
        <v>0</v>
      </c>
      <c r="BQ70" s="29" t="e">
        <f t="shared" si="140"/>
        <v>#REF!</v>
      </c>
      <c r="BR70" s="30">
        <f t="shared" si="140"/>
        <v>0</v>
      </c>
      <c r="BS70" s="29"/>
      <c r="BT70" s="4"/>
      <c r="BU70" s="4"/>
      <c r="BV70" s="4"/>
      <c r="BW70" s="4"/>
      <c r="BX70" s="4"/>
    </row>
    <row r="71" ht="15.75" customHeight="1" spans="1:76">
      <c r="A71" s="31">
        <v>4553</v>
      </c>
      <c r="B71" s="27" t="s">
        <v>482</v>
      </c>
      <c r="C71" s="27" t="s">
        <v>414</v>
      </c>
      <c r="D71" s="33" t="s">
        <v>483</v>
      </c>
      <c r="E71" s="2"/>
      <c r="F71" s="2"/>
      <c r="G71" s="2"/>
      <c r="H71" s="2"/>
      <c r="I71" s="7"/>
      <c r="J71" s="31">
        <v>18</v>
      </c>
      <c r="K71" s="31">
        <v>1</v>
      </c>
      <c r="L71" s="35" t="s">
        <v>416</v>
      </c>
      <c r="M71" s="36">
        <v>3800000</v>
      </c>
      <c r="N71" s="36">
        <v>68400000</v>
      </c>
      <c r="O71" s="36">
        <v>68400000</v>
      </c>
      <c r="P71" s="38" t="e">
        <f>SUMIF(#REF!,$P$3&amp;B71,#REF!)</f>
        <v>#REF!</v>
      </c>
      <c r="Q71" s="39" t="e">
        <f>O71-P71</f>
        <v>#REF!</v>
      </c>
      <c r="R71" s="66">
        <v>0</v>
      </c>
      <c r="S71" s="38" t="e">
        <f>SUMIF(#REF!,$S$3&amp;B71,#REF!)</f>
        <v>#REF!</v>
      </c>
      <c r="T71" s="39" t="e">
        <f>Q71+R71-S71</f>
        <v>#REF!</v>
      </c>
      <c r="U71" s="66">
        <v>0</v>
      </c>
      <c r="V71" s="68" t="e">
        <f>SUM(#REF!)</f>
        <v>#REF!</v>
      </c>
      <c r="W71" s="39" t="e">
        <f>T71+U71-V71</f>
        <v>#REF!</v>
      </c>
      <c r="X71" s="66">
        <v>0</v>
      </c>
      <c r="Y71" s="68" t="e">
        <f>#REF!</f>
        <v>#REF!</v>
      </c>
      <c r="Z71" s="67" t="e">
        <f>W71+X71-Y71</f>
        <v>#REF!</v>
      </c>
      <c r="AA71" s="66">
        <v>0</v>
      </c>
      <c r="AB71" s="68">
        <v>0</v>
      </c>
      <c r="AC71" s="67" t="e">
        <f>Z71+AA71-AB71</f>
        <v>#REF!</v>
      </c>
      <c r="AD71" s="66">
        <v>0</v>
      </c>
      <c r="AE71" s="68" t="e">
        <f>SUM(#REF!)</f>
        <v>#REF!</v>
      </c>
      <c r="AF71" s="72" t="e">
        <f>AC71+AD71-AE71</f>
        <v>#REF!</v>
      </c>
      <c r="AG71" s="66">
        <v>0</v>
      </c>
      <c r="AH71" s="69">
        <v>0</v>
      </c>
      <c r="AI71" s="72" t="e">
        <f>AF71+AG71-AH71</f>
        <v>#REF!</v>
      </c>
      <c r="AJ71" s="85">
        <v>0</v>
      </c>
      <c r="AK71" s="79">
        <v>0</v>
      </c>
      <c r="AL71" s="89" t="e">
        <f>AI71+AJ71-AK71</f>
        <v>#REF!</v>
      </c>
      <c r="AM71" s="85">
        <v>0</v>
      </c>
      <c r="AN71" s="51">
        <v>0</v>
      </c>
      <c r="AO71" s="89" t="e">
        <f>AL71+AM71-AN71</f>
        <v>#REF!</v>
      </c>
      <c r="AP71" s="36">
        <v>68400000</v>
      </c>
      <c r="AQ71" s="85">
        <v>0</v>
      </c>
      <c r="AR71" s="51">
        <v>0</v>
      </c>
      <c r="AS71" s="89" t="e">
        <f>AO71+AQ71-AR71</f>
        <v>#REF!</v>
      </c>
      <c r="AT71" s="85">
        <v>0</v>
      </c>
      <c r="AU71" s="51">
        <v>0</v>
      </c>
      <c r="AV71" s="89" t="e">
        <f>AS71+AT71-AU71</f>
        <v>#REF!</v>
      </c>
      <c r="AW71" s="85">
        <v>0</v>
      </c>
      <c r="AX71" s="51">
        <v>0</v>
      </c>
      <c r="AY71" s="89" t="e">
        <f>AV71+AW71-AX71</f>
        <v>#REF!</v>
      </c>
      <c r="AZ71" s="85">
        <v>0</v>
      </c>
      <c r="BA71" s="51">
        <v>0</v>
      </c>
      <c r="BB71" s="89" t="e">
        <f>AY71+AZ71-BA71</f>
        <v>#REF!</v>
      </c>
      <c r="BC71" s="85">
        <v>0</v>
      </c>
      <c r="BD71" s="51">
        <v>0</v>
      </c>
      <c r="BE71" s="89" t="e">
        <f>BB71+BC71-BD71</f>
        <v>#REF!</v>
      </c>
      <c r="BF71" s="85">
        <v>0</v>
      </c>
      <c r="BG71" s="51">
        <v>0</v>
      </c>
      <c r="BH71" s="89" t="e">
        <f>BE71+BF71-BG71</f>
        <v>#REF!</v>
      </c>
      <c r="BI71" s="85">
        <v>0</v>
      </c>
      <c r="BJ71" s="51">
        <v>0</v>
      </c>
      <c r="BK71" s="89" t="e">
        <f>BH71+BI71-BJ71</f>
        <v>#REF!</v>
      </c>
      <c r="BL71" s="85">
        <v>0</v>
      </c>
      <c r="BM71" s="51">
        <v>0</v>
      </c>
      <c r="BN71" s="89" t="e">
        <f>BK71+BL71-BM71</f>
        <v>#REF!</v>
      </c>
      <c r="BO71" s="85">
        <v>0</v>
      </c>
      <c r="BP71" s="51">
        <v>0</v>
      </c>
      <c r="BQ71" s="89" t="e">
        <f>BN71+BO71-BP71</f>
        <v>#REF!</v>
      </c>
      <c r="BR71" s="90">
        <v>0</v>
      </c>
      <c r="BS71" s="41" t="e">
        <f>P71+S71+V71+Y71+AB71+AE71+AH71+AK71+AN71+AR71+AU71++AX71+BA71+BD71+BG71+BJ71+BM71+BP71</f>
        <v>#REF!</v>
      </c>
      <c r="BT71" s="4"/>
      <c r="BU71" s="4"/>
      <c r="BV71" s="4"/>
      <c r="BW71" s="4"/>
      <c r="BX71" s="4"/>
    </row>
    <row r="72" ht="15.75" customHeight="1" spans="1:76">
      <c r="A72" s="24"/>
      <c r="B72" s="24"/>
      <c r="C72" s="24"/>
      <c r="D72" s="54"/>
      <c r="E72" s="2"/>
      <c r="F72" s="2"/>
      <c r="G72" s="2"/>
      <c r="H72" s="2"/>
      <c r="I72" s="7"/>
      <c r="J72" s="24"/>
      <c r="K72" s="24"/>
      <c r="L72" s="24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55"/>
      <c r="BS72" s="28"/>
      <c r="BT72" s="4"/>
      <c r="BU72" s="4"/>
      <c r="BV72" s="4"/>
      <c r="BW72" s="4"/>
      <c r="BX72" s="4"/>
    </row>
    <row r="73" ht="15.75" customHeight="1" spans="1:76">
      <c r="A73" s="24"/>
      <c r="B73" s="47">
        <v>5.6</v>
      </c>
      <c r="C73" s="24"/>
      <c r="D73" s="26" t="s">
        <v>484</v>
      </c>
      <c r="E73" s="2"/>
      <c r="F73" s="2"/>
      <c r="G73" s="2"/>
      <c r="H73" s="2"/>
      <c r="I73" s="7"/>
      <c r="J73" s="24"/>
      <c r="K73" s="24"/>
      <c r="L73" s="24"/>
      <c r="M73" s="28"/>
      <c r="N73" s="29">
        <f t="shared" ref="N73:BR73" si="141">N74</f>
        <v>162000000</v>
      </c>
      <c r="O73" s="29">
        <f t="shared" si="141"/>
        <v>162000000</v>
      </c>
      <c r="P73" s="29" t="e">
        <f t="shared" si="141"/>
        <v>#REF!</v>
      </c>
      <c r="Q73" s="29" t="e">
        <f t="shared" si="141"/>
        <v>#REF!</v>
      </c>
      <c r="R73" s="29" t="e">
        <f t="shared" si="141"/>
        <v>#REF!</v>
      </c>
      <c r="S73" s="29" t="e">
        <f t="shared" si="141"/>
        <v>#REF!</v>
      </c>
      <c r="T73" s="29" t="e">
        <f t="shared" si="141"/>
        <v>#REF!</v>
      </c>
      <c r="U73" s="29">
        <f t="shared" si="141"/>
        <v>0</v>
      </c>
      <c r="V73" s="29">
        <f t="shared" si="141"/>
        <v>0</v>
      </c>
      <c r="W73" s="29" t="e">
        <f t="shared" si="141"/>
        <v>#REF!</v>
      </c>
      <c r="X73" s="29">
        <f t="shared" si="141"/>
        <v>0</v>
      </c>
      <c r="Y73" s="29" t="e">
        <f t="shared" si="141"/>
        <v>#REF!</v>
      </c>
      <c r="Z73" s="29" t="e">
        <f t="shared" si="141"/>
        <v>#REF!</v>
      </c>
      <c r="AA73" s="29">
        <f t="shared" si="141"/>
        <v>0</v>
      </c>
      <c r="AB73" s="29">
        <f t="shared" si="141"/>
        <v>0</v>
      </c>
      <c r="AC73" s="29" t="e">
        <f t="shared" si="141"/>
        <v>#REF!</v>
      </c>
      <c r="AD73" s="29">
        <f t="shared" si="141"/>
        <v>0</v>
      </c>
      <c r="AE73" s="29">
        <f t="shared" si="141"/>
        <v>0</v>
      </c>
      <c r="AF73" s="29" t="e">
        <f t="shared" si="141"/>
        <v>#REF!</v>
      </c>
      <c r="AG73" s="29">
        <f t="shared" si="141"/>
        <v>0</v>
      </c>
      <c r="AH73" s="29" t="e">
        <f t="shared" si="141"/>
        <v>#REF!</v>
      </c>
      <c r="AI73" s="29" t="e">
        <f t="shared" si="141"/>
        <v>#REF!</v>
      </c>
      <c r="AJ73" s="29">
        <f t="shared" si="141"/>
        <v>0</v>
      </c>
      <c r="AK73" s="29">
        <f t="shared" si="141"/>
        <v>0</v>
      </c>
      <c r="AL73" s="29" t="e">
        <f t="shared" si="141"/>
        <v>#REF!</v>
      </c>
      <c r="AM73" s="29">
        <f t="shared" si="141"/>
        <v>0</v>
      </c>
      <c r="AN73" s="29">
        <f t="shared" si="141"/>
        <v>0</v>
      </c>
      <c r="AO73" s="29" t="e">
        <f t="shared" si="141"/>
        <v>#REF!</v>
      </c>
      <c r="AP73" s="29">
        <f t="shared" si="141"/>
        <v>162000000</v>
      </c>
      <c r="AQ73" s="29">
        <f t="shared" si="141"/>
        <v>0</v>
      </c>
      <c r="AR73" s="29" t="e">
        <f t="shared" si="141"/>
        <v>#REF!</v>
      </c>
      <c r="AS73" s="29" t="e">
        <f t="shared" si="141"/>
        <v>#REF!</v>
      </c>
      <c r="AT73" s="29">
        <f t="shared" si="141"/>
        <v>0</v>
      </c>
      <c r="AU73" s="29">
        <f t="shared" si="141"/>
        <v>0</v>
      </c>
      <c r="AV73" s="29" t="e">
        <f t="shared" si="141"/>
        <v>#REF!</v>
      </c>
      <c r="AW73" s="29">
        <f t="shared" si="141"/>
        <v>0</v>
      </c>
      <c r="AX73" s="29">
        <f t="shared" si="141"/>
        <v>0</v>
      </c>
      <c r="AY73" s="29" t="e">
        <f t="shared" si="141"/>
        <v>#REF!</v>
      </c>
      <c r="AZ73" s="29">
        <f t="shared" si="141"/>
        <v>0</v>
      </c>
      <c r="BA73" s="29">
        <f t="shared" si="141"/>
        <v>0</v>
      </c>
      <c r="BB73" s="29" t="e">
        <f t="shared" si="141"/>
        <v>#REF!</v>
      </c>
      <c r="BC73" s="29">
        <f t="shared" si="141"/>
        <v>0</v>
      </c>
      <c r="BD73" s="29">
        <f t="shared" si="141"/>
        <v>0</v>
      </c>
      <c r="BE73" s="29" t="e">
        <f t="shared" si="141"/>
        <v>#REF!</v>
      </c>
      <c r="BF73" s="29">
        <f t="shared" si="141"/>
        <v>0</v>
      </c>
      <c r="BG73" s="29">
        <f t="shared" si="141"/>
        <v>0</v>
      </c>
      <c r="BH73" s="29" t="e">
        <f t="shared" si="141"/>
        <v>#REF!</v>
      </c>
      <c r="BI73" s="29">
        <f t="shared" si="141"/>
        <v>0</v>
      </c>
      <c r="BJ73" s="29">
        <f t="shared" si="141"/>
        <v>0</v>
      </c>
      <c r="BK73" s="29" t="e">
        <f t="shared" si="141"/>
        <v>#REF!</v>
      </c>
      <c r="BL73" s="29">
        <f t="shared" si="141"/>
        <v>0</v>
      </c>
      <c r="BM73" s="29">
        <f t="shared" si="141"/>
        <v>0</v>
      </c>
      <c r="BN73" s="29" t="e">
        <f t="shared" si="141"/>
        <v>#REF!</v>
      </c>
      <c r="BO73" s="29">
        <f t="shared" si="141"/>
        <v>0</v>
      </c>
      <c r="BP73" s="29">
        <f t="shared" si="141"/>
        <v>0</v>
      </c>
      <c r="BQ73" s="29" t="e">
        <f t="shared" si="141"/>
        <v>#REF!</v>
      </c>
      <c r="BR73" s="30">
        <f t="shared" si="141"/>
        <v>0</v>
      </c>
      <c r="BS73" s="29"/>
      <c r="BT73" s="4"/>
      <c r="BU73" s="4"/>
      <c r="BV73" s="4"/>
      <c r="BW73" s="4"/>
      <c r="BX73" s="4"/>
    </row>
    <row r="74" ht="15.75" customHeight="1" spans="1:76">
      <c r="A74" s="31">
        <v>4563</v>
      </c>
      <c r="B74" s="27" t="s">
        <v>485</v>
      </c>
      <c r="C74" s="27" t="s">
        <v>414</v>
      </c>
      <c r="D74" s="33" t="s">
        <v>486</v>
      </c>
      <c r="E74" s="2"/>
      <c r="F74" s="2"/>
      <c r="G74" s="2"/>
      <c r="H74" s="2"/>
      <c r="I74" s="7"/>
      <c r="J74" s="31">
        <v>18</v>
      </c>
      <c r="K74" s="31">
        <v>1</v>
      </c>
      <c r="L74" s="35" t="s">
        <v>416</v>
      </c>
      <c r="M74" s="36">
        <v>9000000</v>
      </c>
      <c r="N74" s="36">
        <v>162000000</v>
      </c>
      <c r="O74" s="36">
        <v>162000000</v>
      </c>
      <c r="P74" s="38" t="e">
        <f>SUMIF(#REF!,$P$3&amp;B74,#REF!)</f>
        <v>#REF!</v>
      </c>
      <c r="Q74" s="39" t="e">
        <f>O74-P74</f>
        <v>#REF!</v>
      </c>
      <c r="R74" s="66" t="e">
        <f>#REF!</f>
        <v>#REF!</v>
      </c>
      <c r="S74" s="68" t="e">
        <f>SUM(#REF!)</f>
        <v>#REF!</v>
      </c>
      <c r="T74" s="49" t="e">
        <f>Q74+R74-S74</f>
        <v>#REF!</v>
      </c>
      <c r="U74" s="66">
        <v>0</v>
      </c>
      <c r="V74" s="68">
        <v>0</v>
      </c>
      <c r="W74" s="49" t="e">
        <f>T74+U74-V74</f>
        <v>#REF!</v>
      </c>
      <c r="X74" s="66">
        <v>0</v>
      </c>
      <c r="Y74" s="68" t="e">
        <f>#REF!</f>
        <v>#REF!</v>
      </c>
      <c r="Z74" s="72" t="e">
        <f>W74+X74-Y74</f>
        <v>#REF!</v>
      </c>
      <c r="AA74" s="66">
        <v>0</v>
      </c>
      <c r="AB74" s="38">
        <v>0</v>
      </c>
      <c r="AC74" s="72" t="e">
        <f>Z74+AA74-AB74</f>
        <v>#REF!</v>
      </c>
      <c r="AD74" s="66">
        <v>0</v>
      </c>
      <c r="AE74" s="38">
        <v>0</v>
      </c>
      <c r="AF74" s="72" t="e">
        <f>AC74+AD74-AE74</f>
        <v>#REF!</v>
      </c>
      <c r="AG74" s="66">
        <v>0</v>
      </c>
      <c r="AH74" s="51" t="e">
        <f>#REF!+#REF!+#REF!+#REF!</f>
        <v>#REF!</v>
      </c>
      <c r="AI74" s="72" t="e">
        <f>AF74+AG74-AH74</f>
        <v>#REF!</v>
      </c>
      <c r="AJ74" s="85">
        <v>0</v>
      </c>
      <c r="AK74" s="79">
        <v>0</v>
      </c>
      <c r="AL74" s="80" t="e">
        <f>AI74+AJ74-AK74</f>
        <v>#REF!</v>
      </c>
      <c r="AM74" s="85">
        <v>0</v>
      </c>
      <c r="AN74" s="51">
        <v>0</v>
      </c>
      <c r="AO74" s="89" t="e">
        <f>AL74+AM74-AN74</f>
        <v>#REF!</v>
      </c>
      <c r="AP74" s="36">
        <v>162000000</v>
      </c>
      <c r="AQ74" s="85">
        <v>0</v>
      </c>
      <c r="AR74" s="51" t="e">
        <f>#REF!+#REF!+#REF!</f>
        <v>#REF!</v>
      </c>
      <c r="AS74" s="89" t="e">
        <f>AO74+AQ74-AR74</f>
        <v>#REF!</v>
      </c>
      <c r="AT74" s="85">
        <v>0</v>
      </c>
      <c r="AU74" s="51">
        <v>0</v>
      </c>
      <c r="AV74" s="89" t="e">
        <f>AS74+AT74-AU74</f>
        <v>#REF!</v>
      </c>
      <c r="AW74" s="85">
        <v>0</v>
      </c>
      <c r="AX74" s="51">
        <v>0</v>
      </c>
      <c r="AY74" s="89" t="e">
        <f>AV74+AW74-AX74</f>
        <v>#REF!</v>
      </c>
      <c r="AZ74" s="85">
        <v>0</v>
      </c>
      <c r="BA74" s="51">
        <v>0</v>
      </c>
      <c r="BB74" s="89" t="e">
        <f>AY74+AZ74-BA74</f>
        <v>#REF!</v>
      </c>
      <c r="BC74" s="85">
        <v>0</v>
      </c>
      <c r="BD74" s="51">
        <v>0</v>
      </c>
      <c r="BE74" s="89" t="e">
        <f>BB74+BC74-BD74</f>
        <v>#REF!</v>
      </c>
      <c r="BF74" s="85">
        <v>0</v>
      </c>
      <c r="BG74" s="51">
        <v>0</v>
      </c>
      <c r="BH74" s="89" t="e">
        <f>BE74+BF74-BG74</f>
        <v>#REF!</v>
      </c>
      <c r="BI74" s="85">
        <v>0</v>
      </c>
      <c r="BJ74" s="51">
        <v>0</v>
      </c>
      <c r="BK74" s="89" t="e">
        <f>BH74+BI74-BJ74</f>
        <v>#REF!</v>
      </c>
      <c r="BL74" s="85">
        <v>0</v>
      </c>
      <c r="BM74" s="51">
        <v>0</v>
      </c>
      <c r="BN74" s="89" t="e">
        <f>BK74+BL74-BM74</f>
        <v>#REF!</v>
      </c>
      <c r="BO74" s="85">
        <v>0</v>
      </c>
      <c r="BP74" s="51">
        <v>0</v>
      </c>
      <c r="BQ74" s="89" t="e">
        <f>BN74+BO74-BP74</f>
        <v>#REF!</v>
      </c>
      <c r="BR74" s="90">
        <v>0</v>
      </c>
      <c r="BS74" s="41" t="e">
        <f t="shared" ref="BS74:BS75" si="142">P74+S74+V74+Y74+AB74+AE74+AH74+AK74+AN74+AR74+AU74++AX74+BA74+BD74+BG74+BJ74+BM74+BP74</f>
        <v>#REF!</v>
      </c>
      <c r="BT74" s="4"/>
      <c r="BU74" s="4"/>
      <c r="BV74" s="4"/>
      <c r="BW74" s="4"/>
      <c r="BX74" s="4"/>
    </row>
    <row r="75" ht="15.75" customHeight="1" spans="1:76">
      <c r="A75" s="24"/>
      <c r="B75" s="54"/>
      <c r="C75" s="61"/>
      <c r="D75" s="61"/>
      <c r="E75" s="61"/>
      <c r="F75" s="61"/>
      <c r="G75" s="61"/>
      <c r="H75" s="61"/>
      <c r="I75" s="61"/>
      <c r="J75" s="61"/>
      <c r="K75" s="61"/>
      <c r="L75" s="2"/>
      <c r="M75" s="62" t="s">
        <v>408</v>
      </c>
      <c r="N75" s="63">
        <f t="shared" ref="N75:BR75" si="143">N59+N66+N70+N73</f>
        <v>2543400000</v>
      </c>
      <c r="O75" s="63">
        <f t="shared" si="143"/>
        <v>1159400000</v>
      </c>
      <c r="P75" s="58" t="e">
        <f t="shared" si="143"/>
        <v>#REF!</v>
      </c>
      <c r="Q75" s="58" t="e">
        <f t="shared" si="143"/>
        <v>#REF!</v>
      </c>
      <c r="R75" s="63" t="e">
        <f t="shared" si="143"/>
        <v>#REF!</v>
      </c>
      <c r="S75" s="58" t="e">
        <f t="shared" si="143"/>
        <v>#REF!</v>
      </c>
      <c r="T75" s="58" t="e">
        <f t="shared" si="143"/>
        <v>#REF!</v>
      </c>
      <c r="U75" s="63">
        <f t="shared" si="143"/>
        <v>2000000</v>
      </c>
      <c r="V75" s="58" t="e">
        <f t="shared" si="143"/>
        <v>#REF!</v>
      </c>
      <c r="W75" s="58" t="e">
        <f t="shared" si="143"/>
        <v>#REF!</v>
      </c>
      <c r="X75" s="63">
        <f t="shared" si="143"/>
        <v>2000000</v>
      </c>
      <c r="Y75" s="58" t="e">
        <f t="shared" si="143"/>
        <v>#REF!</v>
      </c>
      <c r="Z75" s="58" t="e">
        <f t="shared" si="143"/>
        <v>#REF!</v>
      </c>
      <c r="AA75" s="63">
        <f t="shared" si="143"/>
        <v>2000000</v>
      </c>
      <c r="AB75" s="58" t="e">
        <f t="shared" si="143"/>
        <v>#REF!</v>
      </c>
      <c r="AC75" s="58" t="e">
        <f t="shared" si="143"/>
        <v>#REF!</v>
      </c>
      <c r="AD75" s="63">
        <f t="shared" si="143"/>
        <v>2000000</v>
      </c>
      <c r="AE75" s="58" t="e">
        <f t="shared" si="143"/>
        <v>#REF!</v>
      </c>
      <c r="AF75" s="58" t="e">
        <f t="shared" si="143"/>
        <v>#REF!</v>
      </c>
      <c r="AG75" s="63">
        <f t="shared" si="143"/>
        <v>2000000</v>
      </c>
      <c r="AH75" s="58" t="e">
        <f t="shared" si="143"/>
        <v>#REF!</v>
      </c>
      <c r="AI75" s="58" t="e">
        <f t="shared" si="143"/>
        <v>#REF!</v>
      </c>
      <c r="AJ75" s="63">
        <f t="shared" si="143"/>
        <v>2000000</v>
      </c>
      <c r="AK75" s="58" t="e">
        <f t="shared" si="143"/>
        <v>#REF!</v>
      </c>
      <c r="AL75" s="58" t="e">
        <f t="shared" si="143"/>
        <v>#REF!</v>
      </c>
      <c r="AM75" s="63">
        <f t="shared" si="143"/>
        <v>2000000</v>
      </c>
      <c r="AN75" s="58" t="e">
        <f t="shared" si="143"/>
        <v>#REF!</v>
      </c>
      <c r="AO75" s="58" t="e">
        <f t="shared" si="143"/>
        <v>#REF!</v>
      </c>
      <c r="AP75" s="63">
        <f t="shared" si="143"/>
        <v>1850400000</v>
      </c>
      <c r="AQ75" s="63">
        <f t="shared" si="143"/>
        <v>677000000</v>
      </c>
      <c r="AR75" s="58" t="e">
        <f t="shared" si="143"/>
        <v>#REF!</v>
      </c>
      <c r="AS75" s="58" t="e">
        <f t="shared" si="143"/>
        <v>#REF!</v>
      </c>
      <c r="AT75" s="63">
        <f t="shared" si="143"/>
        <v>2000000</v>
      </c>
      <c r="AU75" s="58" t="e">
        <f t="shared" si="143"/>
        <v>#REF!</v>
      </c>
      <c r="AV75" s="58" t="e">
        <f t="shared" si="143"/>
        <v>#REF!</v>
      </c>
      <c r="AW75" s="63">
        <f t="shared" si="143"/>
        <v>2000000</v>
      </c>
      <c r="AX75" s="58" t="e">
        <f t="shared" si="143"/>
        <v>#REF!</v>
      </c>
      <c r="AY75" s="58" t="e">
        <f t="shared" si="143"/>
        <v>#REF!</v>
      </c>
      <c r="AZ75" s="63">
        <f t="shared" si="143"/>
        <v>2000000</v>
      </c>
      <c r="BA75" s="58" t="e">
        <f t="shared" si="143"/>
        <v>#REF!</v>
      </c>
      <c r="BB75" s="58" t="e">
        <f t="shared" si="143"/>
        <v>#REF!</v>
      </c>
      <c r="BC75" s="63">
        <f t="shared" si="143"/>
        <v>2000000</v>
      </c>
      <c r="BD75" s="58" t="e">
        <f t="shared" si="143"/>
        <v>#REF!</v>
      </c>
      <c r="BE75" s="58" t="e">
        <f t="shared" si="143"/>
        <v>#REF!</v>
      </c>
      <c r="BF75" s="63">
        <f t="shared" si="143"/>
        <v>2000000</v>
      </c>
      <c r="BG75" s="58" t="e">
        <f t="shared" si="143"/>
        <v>#REF!</v>
      </c>
      <c r="BH75" s="58" t="e">
        <f t="shared" si="143"/>
        <v>#REF!</v>
      </c>
      <c r="BI75" s="63">
        <f t="shared" si="143"/>
        <v>2000000</v>
      </c>
      <c r="BJ75" s="58" t="e">
        <f t="shared" si="143"/>
        <v>#REF!</v>
      </c>
      <c r="BK75" s="58" t="e">
        <f t="shared" si="143"/>
        <v>#REF!</v>
      </c>
      <c r="BL75" s="63">
        <f t="shared" si="143"/>
        <v>2000000</v>
      </c>
      <c r="BM75" s="58" t="e">
        <f t="shared" si="143"/>
        <v>#REF!</v>
      </c>
      <c r="BN75" s="58" t="e">
        <f t="shared" si="143"/>
        <v>#REF!</v>
      </c>
      <c r="BO75" s="63">
        <f t="shared" si="143"/>
        <v>2000000</v>
      </c>
      <c r="BP75" s="58" t="e">
        <f t="shared" si="143"/>
        <v>#REF!</v>
      </c>
      <c r="BQ75" s="58" t="e">
        <f t="shared" si="143"/>
        <v>#REF!</v>
      </c>
      <c r="BR75" s="64">
        <f t="shared" si="143"/>
        <v>693000000</v>
      </c>
      <c r="BS75" s="58" t="e">
        <f t="shared" si="142"/>
        <v>#REF!</v>
      </c>
      <c r="BT75" s="4"/>
      <c r="BU75" s="4"/>
      <c r="BV75" s="4"/>
      <c r="BW75" s="4"/>
      <c r="BX75" s="4"/>
    </row>
    <row r="76" ht="15.75" customHeight="1" spans="1:76">
      <c r="A76" s="15"/>
      <c r="B76" s="16" t="s">
        <v>487</v>
      </c>
      <c r="C76" s="15"/>
      <c r="D76" s="23" t="s">
        <v>488</v>
      </c>
      <c r="E76" s="2"/>
      <c r="F76" s="2"/>
      <c r="G76" s="2"/>
      <c r="H76" s="2"/>
      <c r="I76" s="2"/>
      <c r="J76" s="2"/>
      <c r="K76" s="2"/>
      <c r="L76" s="2"/>
      <c r="M76" s="2"/>
      <c r="N76" s="7"/>
      <c r="O76" s="15"/>
      <c r="P76" s="15"/>
      <c r="Q76" s="15"/>
      <c r="R76" s="15"/>
      <c r="S76" s="15"/>
      <c r="T76" s="15"/>
      <c r="U76" s="20"/>
      <c r="V76" s="20"/>
      <c r="W76" s="20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22"/>
      <c r="BS76" s="15"/>
      <c r="BT76" s="4"/>
      <c r="BU76" s="4"/>
      <c r="BV76" s="4"/>
      <c r="BW76" s="4"/>
      <c r="BX76" s="4"/>
    </row>
    <row r="77" ht="15.75" customHeight="1" spans="1:76">
      <c r="A77" s="24"/>
      <c r="B77" s="24"/>
      <c r="C77" s="24"/>
      <c r="D77" s="54"/>
      <c r="E77" s="2"/>
      <c r="F77" s="2"/>
      <c r="G77" s="2"/>
      <c r="H77" s="2"/>
      <c r="I77" s="7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8"/>
      <c r="V77" s="28"/>
      <c r="W77" s="28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54"/>
      <c r="BS77" s="24"/>
      <c r="BT77" s="4"/>
      <c r="BU77" s="4"/>
      <c r="BV77" s="4"/>
      <c r="BW77" s="4"/>
      <c r="BX77" s="4"/>
    </row>
    <row r="78" ht="15.75" customHeight="1" spans="1:76">
      <c r="A78" s="15"/>
      <c r="B78" s="16" t="s">
        <v>489</v>
      </c>
      <c r="C78" s="15"/>
      <c r="D78" s="23" t="s">
        <v>490</v>
      </c>
      <c r="E78" s="2"/>
      <c r="F78" s="2"/>
      <c r="G78" s="2"/>
      <c r="H78" s="2"/>
      <c r="I78" s="2"/>
      <c r="J78" s="2"/>
      <c r="K78" s="2"/>
      <c r="L78" s="2"/>
      <c r="M78" s="2"/>
      <c r="N78" s="7"/>
      <c r="O78" s="15"/>
      <c r="P78" s="15"/>
      <c r="Q78" s="15"/>
      <c r="R78" s="15"/>
      <c r="S78" s="15"/>
      <c r="T78" s="15"/>
      <c r="U78" s="20"/>
      <c r="V78" s="20"/>
      <c r="W78" s="20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93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22"/>
      <c r="BS78" s="15"/>
      <c r="BT78" s="4"/>
      <c r="BU78" s="4"/>
      <c r="BV78" s="4"/>
      <c r="BW78" s="4"/>
      <c r="BX78" s="4"/>
    </row>
    <row r="79" ht="15.75" customHeight="1" spans="1:76">
      <c r="A79" s="24"/>
      <c r="B79" s="47">
        <v>7.1</v>
      </c>
      <c r="C79" s="24"/>
      <c r="D79" s="26" t="s">
        <v>491</v>
      </c>
      <c r="E79" s="2"/>
      <c r="F79" s="2"/>
      <c r="G79" s="2"/>
      <c r="H79" s="2"/>
      <c r="I79" s="7"/>
      <c r="J79" s="24"/>
      <c r="K79" s="24"/>
      <c r="L79" s="24"/>
      <c r="M79" s="28"/>
      <c r="N79" s="29">
        <f t="shared" ref="N79:BR79" si="144">N80</f>
        <v>90000000</v>
      </c>
      <c r="O79" s="29">
        <f t="shared" si="144"/>
        <v>90000000</v>
      </c>
      <c r="P79" s="29" t="e">
        <f t="shared" si="144"/>
        <v>#REF!</v>
      </c>
      <c r="Q79" s="29" t="e">
        <f t="shared" si="144"/>
        <v>#REF!</v>
      </c>
      <c r="R79" s="29">
        <f t="shared" si="144"/>
        <v>0</v>
      </c>
      <c r="S79" s="29">
        <f t="shared" si="144"/>
        <v>0</v>
      </c>
      <c r="T79" s="29" t="e">
        <f t="shared" si="144"/>
        <v>#REF!</v>
      </c>
      <c r="U79" s="29">
        <f t="shared" si="144"/>
        <v>0</v>
      </c>
      <c r="V79" s="29">
        <f t="shared" si="144"/>
        <v>0</v>
      </c>
      <c r="W79" s="29" t="e">
        <f t="shared" si="144"/>
        <v>#REF!</v>
      </c>
      <c r="X79" s="29">
        <f t="shared" si="144"/>
        <v>0</v>
      </c>
      <c r="Y79" s="29" t="e">
        <f t="shared" si="144"/>
        <v>#REF!</v>
      </c>
      <c r="Z79" s="29" t="e">
        <f t="shared" si="144"/>
        <v>#REF!</v>
      </c>
      <c r="AA79" s="29">
        <f t="shared" si="144"/>
        <v>0</v>
      </c>
      <c r="AB79" s="29">
        <f t="shared" si="144"/>
        <v>0</v>
      </c>
      <c r="AC79" s="29" t="e">
        <f t="shared" si="144"/>
        <v>#REF!</v>
      </c>
      <c r="AD79" s="29">
        <f t="shared" si="144"/>
        <v>0</v>
      </c>
      <c r="AE79" s="29">
        <f t="shared" si="144"/>
        <v>0</v>
      </c>
      <c r="AF79" s="29" t="e">
        <f t="shared" si="144"/>
        <v>#REF!</v>
      </c>
      <c r="AG79" s="29">
        <f t="shared" si="144"/>
        <v>0</v>
      </c>
      <c r="AH79" s="29" t="e">
        <f t="shared" si="144"/>
        <v>#REF!</v>
      </c>
      <c r="AI79" s="29" t="e">
        <f t="shared" si="144"/>
        <v>#REF!</v>
      </c>
      <c r="AJ79" s="29">
        <f t="shared" si="144"/>
        <v>0</v>
      </c>
      <c r="AK79" s="29">
        <f t="shared" si="144"/>
        <v>0</v>
      </c>
      <c r="AL79" s="29" t="e">
        <f t="shared" si="144"/>
        <v>#REF!</v>
      </c>
      <c r="AM79" s="29">
        <f t="shared" si="144"/>
        <v>0</v>
      </c>
      <c r="AN79" s="29" t="e">
        <f t="shared" si="144"/>
        <v>#REF!</v>
      </c>
      <c r="AO79" s="29" t="e">
        <f t="shared" si="144"/>
        <v>#REF!</v>
      </c>
      <c r="AP79" s="29">
        <f t="shared" si="144"/>
        <v>90000000</v>
      </c>
      <c r="AQ79" s="29">
        <f t="shared" si="144"/>
        <v>0</v>
      </c>
      <c r="AR79" s="29" t="e">
        <f t="shared" si="144"/>
        <v>#REF!</v>
      </c>
      <c r="AS79" s="29" t="e">
        <f t="shared" si="144"/>
        <v>#REF!</v>
      </c>
      <c r="AT79" s="29">
        <f t="shared" si="144"/>
        <v>0</v>
      </c>
      <c r="AU79" s="29" t="e">
        <f t="shared" si="144"/>
        <v>#REF!</v>
      </c>
      <c r="AV79" s="29" t="e">
        <f t="shared" si="144"/>
        <v>#REF!</v>
      </c>
      <c r="AW79" s="29">
        <f t="shared" si="144"/>
        <v>0</v>
      </c>
      <c r="AX79" s="29" t="e">
        <f t="shared" si="144"/>
        <v>#REF!</v>
      </c>
      <c r="AY79" s="29" t="e">
        <f t="shared" si="144"/>
        <v>#REF!</v>
      </c>
      <c r="AZ79" s="29">
        <f t="shared" si="144"/>
        <v>0</v>
      </c>
      <c r="BA79" s="29" t="e">
        <f t="shared" si="144"/>
        <v>#REF!</v>
      </c>
      <c r="BB79" s="29" t="e">
        <f t="shared" si="144"/>
        <v>#REF!</v>
      </c>
      <c r="BC79" s="29">
        <f t="shared" si="144"/>
        <v>0</v>
      </c>
      <c r="BD79" s="29" t="e">
        <f t="shared" si="144"/>
        <v>#REF!</v>
      </c>
      <c r="BE79" s="29" t="e">
        <f t="shared" si="144"/>
        <v>#REF!</v>
      </c>
      <c r="BF79" s="29">
        <f t="shared" si="144"/>
        <v>0</v>
      </c>
      <c r="BG79" s="29" t="e">
        <f t="shared" si="144"/>
        <v>#REF!</v>
      </c>
      <c r="BH79" s="29" t="e">
        <f t="shared" si="144"/>
        <v>#REF!</v>
      </c>
      <c r="BI79" s="29">
        <f t="shared" si="144"/>
        <v>0</v>
      </c>
      <c r="BJ79" s="29">
        <f t="shared" si="144"/>
        <v>0</v>
      </c>
      <c r="BK79" s="29" t="e">
        <f t="shared" si="144"/>
        <v>#REF!</v>
      </c>
      <c r="BL79" s="29">
        <f t="shared" si="144"/>
        <v>0</v>
      </c>
      <c r="BM79" s="29">
        <f t="shared" si="144"/>
        <v>0</v>
      </c>
      <c r="BN79" s="29" t="e">
        <f t="shared" si="144"/>
        <v>#REF!</v>
      </c>
      <c r="BO79" s="29">
        <f t="shared" si="144"/>
        <v>0</v>
      </c>
      <c r="BP79" s="29">
        <f t="shared" si="144"/>
        <v>0</v>
      </c>
      <c r="BQ79" s="29" t="e">
        <f t="shared" si="144"/>
        <v>#REF!</v>
      </c>
      <c r="BR79" s="30">
        <f t="shared" si="144"/>
        <v>0</v>
      </c>
      <c r="BS79" s="29"/>
      <c r="BT79" s="4"/>
      <c r="BU79" s="4"/>
      <c r="BV79" s="4"/>
      <c r="BW79" s="4"/>
      <c r="BX79" s="4"/>
    </row>
    <row r="80" ht="15.75" customHeight="1" spans="1:76">
      <c r="A80" s="24"/>
      <c r="B80" s="27" t="s">
        <v>492</v>
      </c>
      <c r="C80" s="27" t="s">
        <v>414</v>
      </c>
      <c r="D80" s="33" t="s">
        <v>493</v>
      </c>
      <c r="E80" s="2"/>
      <c r="F80" s="2"/>
      <c r="G80" s="2"/>
      <c r="H80" s="2"/>
      <c r="I80" s="7"/>
      <c r="J80" s="24"/>
      <c r="K80" s="24"/>
      <c r="L80" s="24"/>
      <c r="M80" s="28"/>
      <c r="N80" s="43">
        <f t="shared" ref="N80:O80" si="145">SUM(N81:N83)</f>
        <v>90000000</v>
      </c>
      <c r="O80" s="43">
        <f t="shared" si="145"/>
        <v>90000000</v>
      </c>
      <c r="P80" s="38" t="e">
        <f>SUMIF(#REF!,$P$3&amp;B80,#REF!)</f>
        <v>#REF!</v>
      </c>
      <c r="Q80" s="39" t="e">
        <f>O80-P80</f>
        <v>#REF!</v>
      </c>
      <c r="R80" s="43">
        <f>SUM(R81:R83)</f>
        <v>0</v>
      </c>
      <c r="S80" s="68">
        <v>0</v>
      </c>
      <c r="T80" s="39" t="e">
        <f>Q80+R80-S80</f>
        <v>#REF!</v>
      </c>
      <c r="U80" s="43">
        <f>SUM(U81:U83)</f>
        <v>0</v>
      </c>
      <c r="V80" s="68">
        <v>0</v>
      </c>
      <c r="W80" s="39" t="e">
        <f>T80+U80-V80</f>
        <v>#REF!</v>
      </c>
      <c r="X80" s="43">
        <f>SUM(X81:X83)</f>
        <v>0</v>
      </c>
      <c r="Y80" s="68" t="e">
        <f>#REF!+#REF!+#REF!+#REF!+#REF!+#REF!</f>
        <v>#REF!</v>
      </c>
      <c r="Z80" s="67" t="e">
        <f>W80+X80-Y80</f>
        <v>#REF!</v>
      </c>
      <c r="AA80" s="43">
        <f>SUM(AA81:AA83)</f>
        <v>0</v>
      </c>
      <c r="AB80" s="38">
        <v>0</v>
      </c>
      <c r="AC80" s="67" t="e">
        <f>Z80+AA80-AB80</f>
        <v>#REF!</v>
      </c>
      <c r="AD80" s="43">
        <f>SUM(AD81:AD83)</f>
        <v>0</v>
      </c>
      <c r="AE80" s="38">
        <v>0</v>
      </c>
      <c r="AF80" s="67" t="e">
        <f>AC80+AD80-AE80</f>
        <v>#REF!</v>
      </c>
      <c r="AG80" s="43">
        <f>SUM(AG81:AG83)</f>
        <v>0</v>
      </c>
      <c r="AH80" s="69" t="e">
        <f>#REF!+#REF!+#REF!+#REF!+#REF!</f>
        <v>#REF!</v>
      </c>
      <c r="AI80" s="67" t="e">
        <f>AF80+AG80-AH80</f>
        <v>#REF!</v>
      </c>
      <c r="AJ80" s="43">
        <f>SUM(AJ81:AJ83)</f>
        <v>0</v>
      </c>
      <c r="AK80" s="79">
        <v>0</v>
      </c>
      <c r="AL80" s="80" t="e">
        <f>AI80+AJ80-AK80</f>
        <v>#REF!</v>
      </c>
      <c r="AM80" s="43">
        <f>SUM(AM81:AM83)</f>
        <v>0</v>
      </c>
      <c r="AN80" s="51" t="e">
        <f>#REF!+#REF!</f>
        <v>#REF!</v>
      </c>
      <c r="AO80" s="80" t="e">
        <f>AL80+AM80-AN80</f>
        <v>#REF!</v>
      </c>
      <c r="AP80" s="43">
        <f t="shared" ref="AP80:AQ80" si="146">SUM(AP81:AP83)</f>
        <v>90000000</v>
      </c>
      <c r="AQ80" s="43">
        <f t="shared" si="146"/>
        <v>0</v>
      </c>
      <c r="AR80" s="51" t="e">
        <f>#REF!+#REF!+#REF!</f>
        <v>#REF!</v>
      </c>
      <c r="AS80" s="80" t="e">
        <f>AO80+AQ80-AR80</f>
        <v>#REF!</v>
      </c>
      <c r="AT80" s="43">
        <f>SUM(AT81:AT83)</f>
        <v>0</v>
      </c>
      <c r="AU80" s="51" t="e">
        <f>#REF!</f>
        <v>#REF!</v>
      </c>
      <c r="AV80" s="80" t="e">
        <f>AS80+AT80-AU80</f>
        <v>#REF!</v>
      </c>
      <c r="AW80" s="43">
        <f>SUM(AW81:AW83)</f>
        <v>0</v>
      </c>
      <c r="AX80" s="51" t="e">
        <f>#REF!+#REF!</f>
        <v>#REF!</v>
      </c>
      <c r="AY80" s="80" t="e">
        <f>AV80+AW80-AX80</f>
        <v>#REF!</v>
      </c>
      <c r="AZ80" s="43">
        <f>SUM(AZ81:AZ83)</f>
        <v>0</v>
      </c>
      <c r="BA80" s="51" t="e">
        <f>#REF!+#REF!+#REF!+#REF!+#REF!+#REF!+#REF!</f>
        <v>#REF!</v>
      </c>
      <c r="BB80" s="80" t="e">
        <f>AY80+AZ80-BA80</f>
        <v>#REF!</v>
      </c>
      <c r="BC80" s="43">
        <f>SUM(BC81:BC83)</f>
        <v>0</v>
      </c>
      <c r="BD80" s="51" t="e">
        <f>#REF!+#REF!+#REF!+#REF!</f>
        <v>#REF!</v>
      </c>
      <c r="BE80" s="80" t="e">
        <f>BB80+BC80-BD80</f>
        <v>#REF!</v>
      </c>
      <c r="BF80" s="43">
        <f>SUM(BF81:BF83)</f>
        <v>0</v>
      </c>
      <c r="BG80" s="51" t="e">
        <f>#REF!+#REF!</f>
        <v>#REF!</v>
      </c>
      <c r="BH80" s="80" t="e">
        <f>BE80+BF80-BG80</f>
        <v>#REF!</v>
      </c>
      <c r="BI80" s="43">
        <f>SUM(BI81:BI83)</f>
        <v>0</v>
      </c>
      <c r="BJ80" s="51">
        <v>0</v>
      </c>
      <c r="BK80" s="80" t="e">
        <f>BH80+BI80-BJ80</f>
        <v>#REF!</v>
      </c>
      <c r="BL80" s="43">
        <f>SUM(BL81:BL83)</f>
        <v>0</v>
      </c>
      <c r="BM80" s="51">
        <v>0</v>
      </c>
      <c r="BN80" s="80" t="e">
        <f>BK80+BL80-BM80</f>
        <v>#REF!</v>
      </c>
      <c r="BO80" s="43">
        <f>SUM(BO81:BO83)</f>
        <v>0</v>
      </c>
      <c r="BP80" s="51">
        <v>0</v>
      </c>
      <c r="BQ80" s="80" t="e">
        <f>BN80+BO80-BP80</f>
        <v>#REF!</v>
      </c>
      <c r="BR80" s="44">
        <f>SUM(BR81:BR83)</f>
        <v>0</v>
      </c>
      <c r="BS80" s="41" t="e">
        <f>P80+S80+V80+Y80+AB80+AE80+AH80+AK80+AN80+AR80+AU80++AX80+BA80+BD80+BG80+BJ80+BM80+BP80</f>
        <v>#REF!</v>
      </c>
      <c r="BT80" s="4"/>
      <c r="BU80" s="4"/>
      <c r="BV80" s="4"/>
      <c r="BW80" s="4"/>
      <c r="BX80" s="4"/>
    </row>
    <row r="81" ht="15.75" customHeight="1" spans="1:76">
      <c r="A81" s="31">
        <v>4711</v>
      </c>
      <c r="B81" s="24"/>
      <c r="C81" s="27" t="s">
        <v>414</v>
      </c>
      <c r="D81" s="33" t="s">
        <v>494</v>
      </c>
      <c r="E81" s="2"/>
      <c r="F81" s="2"/>
      <c r="G81" s="2"/>
      <c r="H81" s="2"/>
      <c r="I81" s="7"/>
      <c r="J81" s="31">
        <v>18</v>
      </c>
      <c r="K81" s="31">
        <v>20</v>
      </c>
      <c r="L81" s="35" t="s">
        <v>495</v>
      </c>
      <c r="M81" s="36">
        <v>100000</v>
      </c>
      <c r="N81" s="36">
        <v>36000000</v>
      </c>
      <c r="O81" s="36">
        <v>36000000</v>
      </c>
      <c r="P81" s="36"/>
      <c r="Q81" s="36"/>
      <c r="R81" s="66" t="s">
        <v>427</v>
      </c>
      <c r="S81" s="66"/>
      <c r="T81" s="66"/>
      <c r="U81" s="66" t="s">
        <v>427</v>
      </c>
      <c r="V81" s="66"/>
      <c r="W81" s="66"/>
      <c r="X81" s="66" t="s">
        <v>427</v>
      </c>
      <c r="Y81" s="66"/>
      <c r="Z81" s="66"/>
      <c r="AA81" s="66" t="s">
        <v>427</v>
      </c>
      <c r="AB81" s="66"/>
      <c r="AC81" s="66"/>
      <c r="AD81" s="66" t="s">
        <v>427</v>
      </c>
      <c r="AE81" s="66"/>
      <c r="AF81" s="66"/>
      <c r="AG81" s="66" t="s">
        <v>427</v>
      </c>
      <c r="AH81" s="66"/>
      <c r="AI81" s="66"/>
      <c r="AJ81" s="66" t="s">
        <v>427</v>
      </c>
      <c r="AK81" s="66"/>
      <c r="AL81" s="66"/>
      <c r="AM81" s="66" t="s">
        <v>427</v>
      </c>
      <c r="AN81" s="66"/>
      <c r="AO81" s="66"/>
      <c r="AP81" s="36">
        <v>36000000</v>
      </c>
      <c r="AQ81" s="66" t="s">
        <v>427</v>
      </c>
      <c r="AR81" s="66"/>
      <c r="AS81" s="66"/>
      <c r="AT81" s="66" t="s">
        <v>427</v>
      </c>
      <c r="AU81" s="66"/>
      <c r="AV81" s="66"/>
      <c r="AW81" s="66" t="s">
        <v>427</v>
      </c>
      <c r="AX81" s="66"/>
      <c r="AY81" s="66"/>
      <c r="AZ81" s="66" t="s">
        <v>427</v>
      </c>
      <c r="BA81" s="66"/>
      <c r="BB81" s="66"/>
      <c r="BC81" s="66" t="s">
        <v>427</v>
      </c>
      <c r="BD81" s="66"/>
      <c r="BE81" s="66"/>
      <c r="BF81" s="66" t="s">
        <v>427</v>
      </c>
      <c r="BG81" s="66"/>
      <c r="BH81" s="66"/>
      <c r="BI81" s="66" t="s">
        <v>427</v>
      </c>
      <c r="BJ81" s="66"/>
      <c r="BK81" s="66"/>
      <c r="BL81" s="66" t="s">
        <v>427</v>
      </c>
      <c r="BM81" s="66"/>
      <c r="BN81" s="66"/>
      <c r="BO81" s="66" t="s">
        <v>427</v>
      </c>
      <c r="BP81" s="66"/>
      <c r="BQ81" s="66"/>
      <c r="BR81" s="70" t="s">
        <v>427</v>
      </c>
      <c r="BS81" s="66"/>
      <c r="BT81" s="4"/>
      <c r="BU81" s="4"/>
      <c r="BV81" s="4"/>
      <c r="BW81" s="4"/>
      <c r="BX81" s="4"/>
    </row>
    <row r="82" ht="15.75" customHeight="1" spans="1:76">
      <c r="A82" s="31">
        <v>4711</v>
      </c>
      <c r="B82" s="24"/>
      <c r="C82" s="27" t="s">
        <v>414</v>
      </c>
      <c r="D82" s="33" t="s">
        <v>496</v>
      </c>
      <c r="E82" s="2"/>
      <c r="F82" s="2"/>
      <c r="G82" s="2"/>
      <c r="H82" s="2"/>
      <c r="I82" s="7"/>
      <c r="J82" s="31">
        <v>18</v>
      </c>
      <c r="K82" s="31">
        <v>3</v>
      </c>
      <c r="L82" s="35" t="s">
        <v>416</v>
      </c>
      <c r="M82" s="36">
        <v>800000</v>
      </c>
      <c r="N82" s="36">
        <v>43200000</v>
      </c>
      <c r="O82" s="36">
        <v>43200000</v>
      </c>
      <c r="P82" s="36"/>
      <c r="Q82" s="36"/>
      <c r="R82" s="66" t="s">
        <v>427</v>
      </c>
      <c r="S82" s="66"/>
      <c r="T82" s="66"/>
      <c r="U82" s="66" t="s">
        <v>427</v>
      </c>
      <c r="V82" s="66"/>
      <c r="W82" s="66"/>
      <c r="X82" s="66" t="s">
        <v>427</v>
      </c>
      <c r="Y82" s="66"/>
      <c r="Z82" s="66"/>
      <c r="AA82" s="66" t="s">
        <v>427</v>
      </c>
      <c r="AB82" s="66"/>
      <c r="AC82" s="66"/>
      <c r="AD82" s="66" t="s">
        <v>427</v>
      </c>
      <c r="AE82" s="66"/>
      <c r="AF82" s="66"/>
      <c r="AG82" s="66" t="s">
        <v>427</v>
      </c>
      <c r="AH82" s="66"/>
      <c r="AI82" s="66"/>
      <c r="AJ82" s="66" t="s">
        <v>427</v>
      </c>
      <c r="AK82" s="66"/>
      <c r="AL82" s="66"/>
      <c r="AM82" s="66" t="s">
        <v>427</v>
      </c>
      <c r="AN82" s="66"/>
      <c r="AO82" s="66"/>
      <c r="AP82" s="36">
        <v>43200000</v>
      </c>
      <c r="AQ82" s="66" t="s">
        <v>427</v>
      </c>
      <c r="AR82" s="66"/>
      <c r="AS82" s="66"/>
      <c r="AT82" s="66" t="s">
        <v>427</v>
      </c>
      <c r="AU82" s="66"/>
      <c r="AV82" s="66"/>
      <c r="AW82" s="66" t="s">
        <v>427</v>
      </c>
      <c r="AX82" s="66"/>
      <c r="AY82" s="66"/>
      <c r="AZ82" s="66" t="s">
        <v>427</v>
      </c>
      <c r="BA82" s="66"/>
      <c r="BB82" s="66"/>
      <c r="BC82" s="66" t="s">
        <v>427</v>
      </c>
      <c r="BD82" s="66"/>
      <c r="BE82" s="66"/>
      <c r="BF82" s="66" t="s">
        <v>427</v>
      </c>
      <c r="BG82" s="66"/>
      <c r="BH82" s="66"/>
      <c r="BI82" s="66" t="s">
        <v>427</v>
      </c>
      <c r="BJ82" s="66"/>
      <c r="BK82" s="66"/>
      <c r="BL82" s="66" t="s">
        <v>427</v>
      </c>
      <c r="BM82" s="66"/>
      <c r="BN82" s="66"/>
      <c r="BO82" s="66" t="s">
        <v>427</v>
      </c>
      <c r="BP82" s="66"/>
      <c r="BQ82" s="66"/>
      <c r="BR82" s="70" t="s">
        <v>427</v>
      </c>
      <c r="BS82" s="66"/>
      <c r="BT82" s="4"/>
      <c r="BU82" s="4"/>
      <c r="BV82" s="4"/>
      <c r="BW82" s="4"/>
      <c r="BX82" s="4"/>
    </row>
    <row r="83" ht="15.75" customHeight="1" spans="1:76">
      <c r="A83" s="31">
        <v>4711</v>
      </c>
      <c r="B83" s="24"/>
      <c r="C83" s="27" t="s">
        <v>414</v>
      </c>
      <c r="D83" s="33" t="s">
        <v>497</v>
      </c>
      <c r="E83" s="2"/>
      <c r="F83" s="2"/>
      <c r="G83" s="2"/>
      <c r="H83" s="2"/>
      <c r="I83" s="7"/>
      <c r="J83" s="31">
        <v>18</v>
      </c>
      <c r="K83" s="31">
        <v>2</v>
      </c>
      <c r="L83" s="35" t="s">
        <v>416</v>
      </c>
      <c r="M83" s="36">
        <v>300000</v>
      </c>
      <c r="N83" s="36">
        <v>10800000</v>
      </c>
      <c r="O83" s="36">
        <v>10800000</v>
      </c>
      <c r="P83" s="36"/>
      <c r="Q83" s="36"/>
      <c r="R83" s="66" t="s">
        <v>427</v>
      </c>
      <c r="S83" s="66"/>
      <c r="T83" s="66"/>
      <c r="U83" s="66" t="s">
        <v>427</v>
      </c>
      <c r="V83" s="66"/>
      <c r="W83" s="66"/>
      <c r="X83" s="66" t="s">
        <v>427</v>
      </c>
      <c r="Y83" s="66"/>
      <c r="Z83" s="66"/>
      <c r="AA83" s="66" t="s">
        <v>427</v>
      </c>
      <c r="AB83" s="66"/>
      <c r="AC83" s="66"/>
      <c r="AD83" s="66" t="s">
        <v>427</v>
      </c>
      <c r="AE83" s="66"/>
      <c r="AF83" s="66"/>
      <c r="AG83" s="66" t="s">
        <v>427</v>
      </c>
      <c r="AH83" s="66"/>
      <c r="AI83" s="66"/>
      <c r="AJ83" s="66" t="s">
        <v>427</v>
      </c>
      <c r="AK83" s="66"/>
      <c r="AL83" s="66"/>
      <c r="AM83" s="66" t="s">
        <v>427</v>
      </c>
      <c r="AN83" s="66"/>
      <c r="AO83" s="66"/>
      <c r="AP83" s="36">
        <v>10800000</v>
      </c>
      <c r="AQ83" s="66" t="s">
        <v>427</v>
      </c>
      <c r="AR83" s="66"/>
      <c r="AS83" s="66"/>
      <c r="AT83" s="66" t="s">
        <v>427</v>
      </c>
      <c r="AU83" s="66"/>
      <c r="AV83" s="66"/>
      <c r="AW83" s="66" t="s">
        <v>427</v>
      </c>
      <c r="AX83" s="66"/>
      <c r="AY83" s="66"/>
      <c r="AZ83" s="66" t="s">
        <v>427</v>
      </c>
      <c r="BA83" s="66"/>
      <c r="BB83" s="66"/>
      <c r="BC83" s="66" t="s">
        <v>427</v>
      </c>
      <c r="BD83" s="66"/>
      <c r="BE83" s="66"/>
      <c r="BF83" s="66" t="s">
        <v>427</v>
      </c>
      <c r="BG83" s="66"/>
      <c r="BH83" s="66"/>
      <c r="BI83" s="66" t="s">
        <v>427</v>
      </c>
      <c r="BJ83" s="66"/>
      <c r="BK83" s="66"/>
      <c r="BL83" s="66" t="s">
        <v>427</v>
      </c>
      <c r="BM83" s="66"/>
      <c r="BN83" s="66"/>
      <c r="BO83" s="66" t="s">
        <v>427</v>
      </c>
      <c r="BP83" s="66"/>
      <c r="BQ83" s="66"/>
      <c r="BR83" s="70" t="s">
        <v>427</v>
      </c>
      <c r="BS83" s="66"/>
      <c r="BT83" s="4"/>
      <c r="BU83" s="4"/>
      <c r="BV83" s="4"/>
      <c r="BW83" s="4"/>
      <c r="BX83" s="4"/>
    </row>
    <row r="84" ht="15.75" customHeight="1" spans="1:76">
      <c r="A84" s="24"/>
      <c r="B84" s="47">
        <v>7.2</v>
      </c>
      <c r="C84" s="24"/>
      <c r="D84" s="26" t="s">
        <v>498</v>
      </c>
      <c r="E84" s="2"/>
      <c r="F84" s="2"/>
      <c r="G84" s="2"/>
      <c r="H84" s="2"/>
      <c r="I84" s="7"/>
      <c r="J84" s="24"/>
      <c r="K84" s="24"/>
      <c r="L84" s="24"/>
      <c r="M84" s="28"/>
      <c r="N84" s="29">
        <f t="shared" ref="N84:BR84" si="147">SUM(N85:N86)</f>
        <v>10440000</v>
      </c>
      <c r="O84" s="29">
        <f t="shared" si="147"/>
        <v>580000</v>
      </c>
      <c r="P84" s="29" t="e">
        <f t="shared" si="147"/>
        <v>#REF!</v>
      </c>
      <c r="Q84" s="29" t="e">
        <f t="shared" si="147"/>
        <v>#REF!</v>
      </c>
      <c r="R84" s="29">
        <f t="shared" si="147"/>
        <v>580000</v>
      </c>
      <c r="S84" s="29">
        <f t="shared" si="147"/>
        <v>0</v>
      </c>
      <c r="T84" s="29" t="e">
        <f t="shared" si="147"/>
        <v>#REF!</v>
      </c>
      <c r="U84" s="29">
        <f t="shared" si="147"/>
        <v>580000</v>
      </c>
      <c r="V84" s="29">
        <f t="shared" si="147"/>
        <v>0</v>
      </c>
      <c r="W84" s="29" t="e">
        <f t="shared" si="147"/>
        <v>#REF!</v>
      </c>
      <c r="X84" s="29">
        <f t="shared" si="147"/>
        <v>580000</v>
      </c>
      <c r="Y84" s="29">
        <f t="shared" si="147"/>
        <v>0</v>
      </c>
      <c r="Z84" s="29" t="e">
        <f t="shared" si="147"/>
        <v>#REF!</v>
      </c>
      <c r="AA84" s="29">
        <f t="shared" si="147"/>
        <v>580000</v>
      </c>
      <c r="AB84" s="29">
        <f t="shared" si="147"/>
        <v>0</v>
      </c>
      <c r="AC84" s="29" t="e">
        <f t="shared" si="147"/>
        <v>#REF!</v>
      </c>
      <c r="AD84" s="29">
        <f t="shared" si="147"/>
        <v>580000</v>
      </c>
      <c r="AE84" s="29" t="e">
        <f t="shared" si="147"/>
        <v>#REF!</v>
      </c>
      <c r="AF84" s="29" t="e">
        <f t="shared" si="147"/>
        <v>#REF!</v>
      </c>
      <c r="AG84" s="29">
        <f t="shared" si="147"/>
        <v>580000</v>
      </c>
      <c r="AH84" s="29" t="e">
        <f t="shared" si="147"/>
        <v>#REF!</v>
      </c>
      <c r="AI84" s="29" t="e">
        <f t="shared" si="147"/>
        <v>#REF!</v>
      </c>
      <c r="AJ84" s="29">
        <f t="shared" si="147"/>
        <v>580000</v>
      </c>
      <c r="AK84" s="29">
        <f t="shared" si="147"/>
        <v>0</v>
      </c>
      <c r="AL84" s="29" t="e">
        <f t="shared" si="147"/>
        <v>#REF!</v>
      </c>
      <c r="AM84" s="29">
        <f t="shared" si="147"/>
        <v>580000</v>
      </c>
      <c r="AN84" s="29">
        <f t="shared" si="147"/>
        <v>0</v>
      </c>
      <c r="AO84" s="29" t="e">
        <f t="shared" si="147"/>
        <v>#REF!</v>
      </c>
      <c r="AP84" s="29">
        <f t="shared" si="147"/>
        <v>5220000</v>
      </c>
      <c r="AQ84" s="29">
        <f t="shared" si="147"/>
        <v>580000</v>
      </c>
      <c r="AR84" s="29">
        <f t="shared" si="147"/>
        <v>0</v>
      </c>
      <c r="AS84" s="29" t="e">
        <f t="shared" si="147"/>
        <v>#REF!</v>
      </c>
      <c r="AT84" s="29">
        <f t="shared" si="147"/>
        <v>580000</v>
      </c>
      <c r="AU84" s="29">
        <f t="shared" si="147"/>
        <v>0</v>
      </c>
      <c r="AV84" s="29" t="e">
        <f t="shared" si="147"/>
        <v>#REF!</v>
      </c>
      <c r="AW84" s="29">
        <f t="shared" si="147"/>
        <v>580000</v>
      </c>
      <c r="AX84" s="29" t="e">
        <f t="shared" si="147"/>
        <v>#REF!</v>
      </c>
      <c r="AY84" s="29" t="e">
        <f t="shared" si="147"/>
        <v>#REF!</v>
      </c>
      <c r="AZ84" s="29">
        <f t="shared" si="147"/>
        <v>580000</v>
      </c>
      <c r="BA84" s="29" t="e">
        <f t="shared" si="147"/>
        <v>#REF!</v>
      </c>
      <c r="BB84" s="29" t="e">
        <f t="shared" si="147"/>
        <v>#REF!</v>
      </c>
      <c r="BC84" s="29">
        <f t="shared" si="147"/>
        <v>580000</v>
      </c>
      <c r="BD84" s="29">
        <f t="shared" si="147"/>
        <v>0</v>
      </c>
      <c r="BE84" s="29" t="e">
        <f t="shared" si="147"/>
        <v>#REF!</v>
      </c>
      <c r="BF84" s="29">
        <f t="shared" si="147"/>
        <v>580000</v>
      </c>
      <c r="BG84" s="29">
        <f t="shared" si="147"/>
        <v>0</v>
      </c>
      <c r="BH84" s="29" t="e">
        <f t="shared" si="147"/>
        <v>#REF!</v>
      </c>
      <c r="BI84" s="29">
        <f t="shared" si="147"/>
        <v>580000</v>
      </c>
      <c r="BJ84" s="29">
        <f t="shared" si="147"/>
        <v>0</v>
      </c>
      <c r="BK84" s="29" t="e">
        <f t="shared" si="147"/>
        <v>#REF!</v>
      </c>
      <c r="BL84" s="29">
        <f t="shared" si="147"/>
        <v>580000</v>
      </c>
      <c r="BM84" s="29">
        <f t="shared" si="147"/>
        <v>0</v>
      </c>
      <c r="BN84" s="29" t="e">
        <f t="shared" si="147"/>
        <v>#REF!</v>
      </c>
      <c r="BO84" s="29">
        <f t="shared" si="147"/>
        <v>580000</v>
      </c>
      <c r="BP84" s="29">
        <f t="shared" si="147"/>
        <v>0</v>
      </c>
      <c r="BQ84" s="29" t="e">
        <f t="shared" si="147"/>
        <v>#REF!</v>
      </c>
      <c r="BR84" s="30">
        <f t="shared" si="147"/>
        <v>5220000</v>
      </c>
      <c r="BS84" s="29"/>
      <c r="BT84" s="4"/>
      <c r="BU84" s="4"/>
      <c r="BV84" s="4"/>
      <c r="BW84" s="4"/>
      <c r="BX84" s="4"/>
    </row>
    <row r="85" ht="15.75" customHeight="1" spans="1:76">
      <c r="A85" s="31">
        <v>4721</v>
      </c>
      <c r="B85" s="27" t="s">
        <v>499</v>
      </c>
      <c r="C85" s="27" t="s">
        <v>414</v>
      </c>
      <c r="D85" s="33" t="s">
        <v>498</v>
      </c>
      <c r="E85" s="2"/>
      <c r="F85" s="2"/>
      <c r="G85" s="2"/>
      <c r="H85" s="2"/>
      <c r="I85" s="7"/>
      <c r="J85" s="31">
        <v>18</v>
      </c>
      <c r="K85" s="31">
        <v>2</v>
      </c>
      <c r="L85" s="35" t="s">
        <v>416</v>
      </c>
      <c r="M85" s="36">
        <v>200000</v>
      </c>
      <c r="N85" s="36">
        <v>7200000</v>
      </c>
      <c r="O85" s="36">
        <v>400000</v>
      </c>
      <c r="P85" s="38" t="e">
        <f>SUMIF(#REF!,$P$3&amp;B85,#REF!)</f>
        <v>#REF!</v>
      </c>
      <c r="Q85" s="39" t="e">
        <f t="shared" ref="Q85:Q86" si="148">O85-P85</f>
        <v>#REF!</v>
      </c>
      <c r="R85" s="36">
        <v>400000</v>
      </c>
      <c r="S85" s="68">
        <v>0</v>
      </c>
      <c r="T85" s="39" t="e">
        <f t="shared" ref="T85:T86" si="149">Q85+R85-S85</f>
        <v>#REF!</v>
      </c>
      <c r="U85" s="36">
        <v>400000</v>
      </c>
      <c r="V85" s="68">
        <v>0</v>
      </c>
      <c r="W85" s="39" t="e">
        <f t="shared" ref="W85:W86" si="150">T85+U85-V85</f>
        <v>#REF!</v>
      </c>
      <c r="X85" s="36">
        <v>400000</v>
      </c>
      <c r="Y85" s="68">
        <v>0</v>
      </c>
      <c r="Z85" s="67" t="e">
        <f t="shared" ref="Z85:Z86" si="151">W85+X85-Y85</f>
        <v>#REF!</v>
      </c>
      <c r="AA85" s="36">
        <v>400000</v>
      </c>
      <c r="AB85" s="68">
        <v>0</v>
      </c>
      <c r="AC85" s="67" t="e">
        <f t="shared" ref="AC85:AC86" si="152">Z85+AA85-AB85</f>
        <v>#REF!</v>
      </c>
      <c r="AD85" s="36">
        <v>400000</v>
      </c>
      <c r="AE85" s="38" t="e">
        <f>#REF!</f>
        <v>#REF!</v>
      </c>
      <c r="AF85" s="39" t="e">
        <f t="shared" ref="AF85:AF86" si="153">AC85+AD85-AE85</f>
        <v>#REF!</v>
      </c>
      <c r="AG85" s="36">
        <v>400000</v>
      </c>
      <c r="AH85" s="51" t="e">
        <f>#REF!</f>
        <v>#REF!</v>
      </c>
      <c r="AI85" s="67" t="e">
        <f t="shared" ref="AI85:AI86" si="154">AF85+AG85-AH85</f>
        <v>#REF!</v>
      </c>
      <c r="AJ85" s="36">
        <v>400000</v>
      </c>
      <c r="AK85" s="79">
        <v>0</v>
      </c>
      <c r="AL85" s="80" t="e">
        <f t="shared" ref="AL85:AL86" si="155">AI85+AJ85-AK85</f>
        <v>#REF!</v>
      </c>
      <c r="AM85" s="36">
        <v>400000</v>
      </c>
      <c r="AN85" s="51">
        <v>0</v>
      </c>
      <c r="AO85" s="80" t="e">
        <f t="shared" ref="AO85:AO86" si="156">AL85+AM85-AN85</f>
        <v>#REF!</v>
      </c>
      <c r="AP85" s="36">
        <v>3600000</v>
      </c>
      <c r="AQ85" s="36">
        <v>400000</v>
      </c>
      <c r="AR85" s="51">
        <v>0</v>
      </c>
      <c r="AS85" s="80" t="e">
        <f t="shared" ref="AS85:AS86" si="157">AO85+AQ85-AR85</f>
        <v>#REF!</v>
      </c>
      <c r="AT85" s="36">
        <v>400000</v>
      </c>
      <c r="AU85" s="51">
        <v>0</v>
      </c>
      <c r="AV85" s="80" t="e">
        <f t="shared" ref="AV85:AV86" si="158">AS85+AT85-AU85</f>
        <v>#REF!</v>
      </c>
      <c r="AW85" s="36">
        <v>400000</v>
      </c>
      <c r="AX85" s="51" t="e">
        <f>#REF!</f>
        <v>#REF!</v>
      </c>
      <c r="AY85" s="80" t="e">
        <f t="shared" ref="AY85:AY86" si="159">AV85+AW85-AX85</f>
        <v>#REF!</v>
      </c>
      <c r="AZ85" s="36">
        <v>400000</v>
      </c>
      <c r="BA85" s="51" t="e">
        <f>#REF!</f>
        <v>#REF!</v>
      </c>
      <c r="BB85" s="80" t="e">
        <f t="shared" ref="BB85:BB86" si="160">AY85+AZ85-BA85</f>
        <v>#REF!</v>
      </c>
      <c r="BC85" s="36">
        <v>400000</v>
      </c>
      <c r="BD85" s="51">
        <v>0</v>
      </c>
      <c r="BE85" s="80" t="e">
        <f t="shared" ref="BE85:BE86" si="161">BB85+BC85-BD85</f>
        <v>#REF!</v>
      </c>
      <c r="BF85" s="36">
        <v>400000</v>
      </c>
      <c r="BG85" s="51">
        <v>0</v>
      </c>
      <c r="BH85" s="80" t="e">
        <f t="shared" ref="BH85:BH86" si="162">BE85+BF85-BG85</f>
        <v>#REF!</v>
      </c>
      <c r="BI85" s="36">
        <v>400000</v>
      </c>
      <c r="BJ85" s="51">
        <v>0</v>
      </c>
      <c r="BK85" s="80" t="e">
        <f t="shared" ref="BK85:BK86" si="163">BH85+BI85-BJ85</f>
        <v>#REF!</v>
      </c>
      <c r="BL85" s="36">
        <v>400000</v>
      </c>
      <c r="BM85" s="51">
        <v>0</v>
      </c>
      <c r="BN85" s="80" t="e">
        <f t="shared" ref="BN85:BN86" si="164">BK85+BL85-BM85</f>
        <v>#REF!</v>
      </c>
      <c r="BO85" s="36">
        <v>400000</v>
      </c>
      <c r="BP85" s="51">
        <v>0</v>
      </c>
      <c r="BQ85" s="80" t="e">
        <f t="shared" ref="BQ85:BQ86" si="165">BN85+BO85-BP85</f>
        <v>#REF!</v>
      </c>
      <c r="BR85" s="46">
        <v>3600000</v>
      </c>
      <c r="BS85" s="41" t="e">
        <f t="shared" ref="BS85:BS86" si="166">P85+S85+V85+Y85+AB85+AE85+AH85+AK85+AN85+AR85+AU85++AX85+BA85+BD85+BG85+BJ85+BM85+BP85</f>
        <v>#REF!</v>
      </c>
      <c r="BT85" s="4"/>
      <c r="BU85" s="4"/>
      <c r="BV85" s="4"/>
      <c r="BW85" s="4"/>
      <c r="BX85" s="4"/>
    </row>
    <row r="86" ht="15.75" customHeight="1" spans="1:76">
      <c r="A86" s="31">
        <v>4722</v>
      </c>
      <c r="B86" s="27" t="s">
        <v>500</v>
      </c>
      <c r="C86" s="27" t="s">
        <v>414</v>
      </c>
      <c r="D86" s="33" t="s">
        <v>501</v>
      </c>
      <c r="E86" s="2"/>
      <c r="F86" s="2"/>
      <c r="G86" s="2"/>
      <c r="H86" s="2"/>
      <c r="I86" s="7"/>
      <c r="J86" s="31">
        <v>18</v>
      </c>
      <c r="K86" s="31">
        <v>3</v>
      </c>
      <c r="L86" s="35" t="s">
        <v>416</v>
      </c>
      <c r="M86" s="36">
        <v>60000</v>
      </c>
      <c r="N86" s="36">
        <v>3240000</v>
      </c>
      <c r="O86" s="36">
        <v>180000</v>
      </c>
      <c r="P86" s="38" t="e">
        <f>SUMIF(#REF!,$P$3&amp;B86,#REF!)</f>
        <v>#REF!</v>
      </c>
      <c r="Q86" s="39" t="e">
        <f t="shared" si="148"/>
        <v>#REF!</v>
      </c>
      <c r="R86" s="36">
        <v>180000</v>
      </c>
      <c r="S86" s="68">
        <v>0</v>
      </c>
      <c r="T86" s="39" t="e">
        <f t="shared" si="149"/>
        <v>#REF!</v>
      </c>
      <c r="U86" s="36">
        <v>180000</v>
      </c>
      <c r="V86" s="68">
        <v>0</v>
      </c>
      <c r="W86" s="39" t="e">
        <f t="shared" si="150"/>
        <v>#REF!</v>
      </c>
      <c r="X86" s="36">
        <v>180000</v>
      </c>
      <c r="Y86" s="68">
        <v>0</v>
      </c>
      <c r="Z86" s="39" t="e">
        <f t="shared" si="151"/>
        <v>#REF!</v>
      </c>
      <c r="AA86" s="36">
        <v>180000</v>
      </c>
      <c r="AB86" s="68">
        <v>0</v>
      </c>
      <c r="AC86" s="39" t="e">
        <f t="shared" si="152"/>
        <v>#REF!</v>
      </c>
      <c r="AD86" s="36">
        <v>180000</v>
      </c>
      <c r="AE86" s="68">
        <v>0</v>
      </c>
      <c r="AF86" s="39" t="e">
        <f t="shared" si="153"/>
        <v>#REF!</v>
      </c>
      <c r="AG86" s="48">
        <v>180000</v>
      </c>
      <c r="AH86" s="68">
        <v>0</v>
      </c>
      <c r="AI86" s="39" t="e">
        <f t="shared" si="154"/>
        <v>#REF!</v>
      </c>
      <c r="AJ86" s="36">
        <v>180000</v>
      </c>
      <c r="AK86" s="79">
        <v>0</v>
      </c>
      <c r="AL86" s="80" t="e">
        <f t="shared" si="155"/>
        <v>#REF!</v>
      </c>
      <c r="AM86" s="36">
        <v>180000</v>
      </c>
      <c r="AN86" s="51">
        <v>0</v>
      </c>
      <c r="AO86" s="80" t="e">
        <f t="shared" si="156"/>
        <v>#REF!</v>
      </c>
      <c r="AP86" s="36">
        <v>1620000</v>
      </c>
      <c r="AQ86" s="36">
        <v>180000</v>
      </c>
      <c r="AR86" s="51">
        <v>0</v>
      </c>
      <c r="AS86" s="80" t="e">
        <f t="shared" si="157"/>
        <v>#REF!</v>
      </c>
      <c r="AT86" s="36">
        <v>180000</v>
      </c>
      <c r="AU86" s="51">
        <v>0</v>
      </c>
      <c r="AV86" s="80" t="e">
        <f t="shared" si="158"/>
        <v>#REF!</v>
      </c>
      <c r="AW86" s="36">
        <v>180000</v>
      </c>
      <c r="AX86" s="51">
        <v>0</v>
      </c>
      <c r="AY86" s="80" t="e">
        <f t="shared" si="159"/>
        <v>#REF!</v>
      </c>
      <c r="AZ86" s="36">
        <v>180000</v>
      </c>
      <c r="BA86" s="51" t="e">
        <f>#REF!</f>
        <v>#REF!</v>
      </c>
      <c r="BB86" s="80" t="e">
        <f t="shared" si="160"/>
        <v>#REF!</v>
      </c>
      <c r="BC86" s="36">
        <v>180000</v>
      </c>
      <c r="BD86" s="51">
        <v>0</v>
      </c>
      <c r="BE86" s="80" t="e">
        <f t="shared" si="161"/>
        <v>#REF!</v>
      </c>
      <c r="BF86" s="36">
        <v>180000</v>
      </c>
      <c r="BG86" s="51">
        <v>0</v>
      </c>
      <c r="BH86" s="80" t="e">
        <f t="shared" si="162"/>
        <v>#REF!</v>
      </c>
      <c r="BI86" s="36">
        <v>180000</v>
      </c>
      <c r="BJ86" s="51">
        <v>0</v>
      </c>
      <c r="BK86" s="80" t="e">
        <f t="shared" si="163"/>
        <v>#REF!</v>
      </c>
      <c r="BL86" s="36">
        <v>180000</v>
      </c>
      <c r="BM86" s="51">
        <v>0</v>
      </c>
      <c r="BN86" s="80" t="e">
        <f t="shared" si="164"/>
        <v>#REF!</v>
      </c>
      <c r="BO86" s="36">
        <v>180000</v>
      </c>
      <c r="BP86" s="51">
        <v>0</v>
      </c>
      <c r="BQ86" s="80" t="e">
        <f t="shared" si="165"/>
        <v>#REF!</v>
      </c>
      <c r="BR86" s="46">
        <v>1620000</v>
      </c>
      <c r="BS86" s="41" t="e">
        <f t="shared" si="166"/>
        <v>#REF!</v>
      </c>
      <c r="BT86" s="4"/>
      <c r="BU86" s="4"/>
      <c r="BV86" s="4"/>
      <c r="BW86" s="4"/>
      <c r="BX86" s="4"/>
    </row>
    <row r="87" ht="15.75" customHeight="1" spans="1:76">
      <c r="A87" s="24"/>
      <c r="B87" s="47">
        <v>7.3</v>
      </c>
      <c r="C87" s="24"/>
      <c r="D87" s="26" t="s">
        <v>502</v>
      </c>
      <c r="E87" s="2"/>
      <c r="F87" s="2"/>
      <c r="G87" s="2"/>
      <c r="H87" s="2"/>
      <c r="I87" s="7"/>
      <c r="J87" s="24"/>
      <c r="K87" s="24"/>
      <c r="L87" s="24"/>
      <c r="M87" s="28"/>
      <c r="N87" s="29">
        <f t="shared" ref="N87:BR87" si="167">SUM(N88:N91)</f>
        <v>103000000</v>
      </c>
      <c r="O87" s="29">
        <f t="shared" si="167"/>
        <v>103000000</v>
      </c>
      <c r="P87" s="29" t="e">
        <f t="shared" si="167"/>
        <v>#REF!</v>
      </c>
      <c r="Q87" s="29" t="e">
        <f t="shared" si="167"/>
        <v>#REF!</v>
      </c>
      <c r="R87" s="29">
        <f t="shared" si="167"/>
        <v>0</v>
      </c>
      <c r="S87" s="29">
        <f t="shared" si="167"/>
        <v>0</v>
      </c>
      <c r="T87" s="29" t="e">
        <f t="shared" si="167"/>
        <v>#REF!</v>
      </c>
      <c r="U87" s="29">
        <f t="shared" si="167"/>
        <v>0</v>
      </c>
      <c r="V87" s="29">
        <f t="shared" si="167"/>
        <v>0</v>
      </c>
      <c r="W87" s="29" t="e">
        <f t="shared" si="167"/>
        <v>#REF!</v>
      </c>
      <c r="X87" s="29">
        <f t="shared" si="167"/>
        <v>0</v>
      </c>
      <c r="Y87" s="29" t="e">
        <f t="shared" si="167"/>
        <v>#REF!</v>
      </c>
      <c r="Z87" s="29" t="e">
        <f t="shared" si="167"/>
        <v>#REF!</v>
      </c>
      <c r="AA87" s="29">
        <f t="shared" si="167"/>
        <v>0</v>
      </c>
      <c r="AB87" s="29" t="e">
        <f t="shared" si="167"/>
        <v>#REF!</v>
      </c>
      <c r="AC87" s="29" t="e">
        <f t="shared" si="167"/>
        <v>#REF!</v>
      </c>
      <c r="AD87" s="29">
        <f t="shared" si="167"/>
        <v>0</v>
      </c>
      <c r="AE87" s="29" t="e">
        <f t="shared" si="167"/>
        <v>#REF!</v>
      </c>
      <c r="AF87" s="29" t="e">
        <f t="shared" si="167"/>
        <v>#REF!</v>
      </c>
      <c r="AG87" s="29">
        <f t="shared" si="167"/>
        <v>0</v>
      </c>
      <c r="AH87" s="29" t="e">
        <f t="shared" si="167"/>
        <v>#REF!</v>
      </c>
      <c r="AI87" s="29" t="e">
        <f t="shared" si="167"/>
        <v>#REF!</v>
      </c>
      <c r="AJ87" s="29">
        <f t="shared" si="167"/>
        <v>0</v>
      </c>
      <c r="AK87" s="29">
        <f t="shared" si="167"/>
        <v>0</v>
      </c>
      <c r="AL87" s="29" t="e">
        <f t="shared" si="167"/>
        <v>#REF!</v>
      </c>
      <c r="AM87" s="29">
        <f t="shared" si="167"/>
        <v>0</v>
      </c>
      <c r="AN87" s="29" t="e">
        <f t="shared" si="167"/>
        <v>#REF!</v>
      </c>
      <c r="AO87" s="29" t="e">
        <f t="shared" si="167"/>
        <v>#REF!</v>
      </c>
      <c r="AP87" s="29">
        <f t="shared" si="167"/>
        <v>103000000</v>
      </c>
      <c r="AQ87" s="29">
        <f t="shared" si="167"/>
        <v>0</v>
      </c>
      <c r="AR87" s="29" t="e">
        <f t="shared" si="167"/>
        <v>#REF!</v>
      </c>
      <c r="AS87" s="29" t="e">
        <f t="shared" si="167"/>
        <v>#REF!</v>
      </c>
      <c r="AT87" s="29">
        <f t="shared" si="167"/>
        <v>0</v>
      </c>
      <c r="AU87" s="29" t="e">
        <f t="shared" si="167"/>
        <v>#REF!</v>
      </c>
      <c r="AV87" s="29" t="e">
        <f t="shared" si="167"/>
        <v>#REF!</v>
      </c>
      <c r="AW87" s="29">
        <f t="shared" si="167"/>
        <v>0</v>
      </c>
      <c r="AX87" s="29">
        <f t="shared" si="167"/>
        <v>0</v>
      </c>
      <c r="AY87" s="29" t="e">
        <f t="shared" si="167"/>
        <v>#REF!</v>
      </c>
      <c r="AZ87" s="29">
        <f t="shared" si="167"/>
        <v>0</v>
      </c>
      <c r="BA87" s="29" t="e">
        <f t="shared" si="167"/>
        <v>#REF!</v>
      </c>
      <c r="BB87" s="29" t="e">
        <f t="shared" si="167"/>
        <v>#REF!</v>
      </c>
      <c r="BC87" s="29">
        <f t="shared" si="167"/>
        <v>0</v>
      </c>
      <c r="BD87" s="29" t="e">
        <f t="shared" si="167"/>
        <v>#REF!</v>
      </c>
      <c r="BE87" s="29" t="e">
        <f t="shared" si="167"/>
        <v>#REF!</v>
      </c>
      <c r="BF87" s="29">
        <f t="shared" si="167"/>
        <v>0</v>
      </c>
      <c r="BG87" s="29" t="e">
        <f t="shared" si="167"/>
        <v>#REF!</v>
      </c>
      <c r="BH87" s="29" t="e">
        <f t="shared" si="167"/>
        <v>#REF!</v>
      </c>
      <c r="BI87" s="29">
        <f t="shared" si="167"/>
        <v>0</v>
      </c>
      <c r="BJ87" s="29">
        <f t="shared" si="167"/>
        <v>0</v>
      </c>
      <c r="BK87" s="29" t="e">
        <f t="shared" si="167"/>
        <v>#REF!</v>
      </c>
      <c r="BL87" s="29">
        <f t="shared" si="167"/>
        <v>0</v>
      </c>
      <c r="BM87" s="29" t="e">
        <f t="shared" si="167"/>
        <v>#REF!</v>
      </c>
      <c r="BN87" s="29" t="e">
        <f t="shared" si="167"/>
        <v>#REF!</v>
      </c>
      <c r="BO87" s="29">
        <f t="shared" si="167"/>
        <v>0</v>
      </c>
      <c r="BP87" s="29">
        <f t="shared" si="167"/>
        <v>0</v>
      </c>
      <c r="BQ87" s="29" t="e">
        <f t="shared" si="167"/>
        <v>#REF!</v>
      </c>
      <c r="BR87" s="30">
        <f t="shared" si="167"/>
        <v>0</v>
      </c>
      <c r="BS87" s="29"/>
      <c r="BT87" s="4"/>
      <c r="BU87" s="4"/>
      <c r="BV87" s="4"/>
      <c r="BW87" s="4"/>
      <c r="BX87" s="4"/>
    </row>
    <row r="88" ht="15.75" customHeight="1" spans="1:76">
      <c r="A88" s="31">
        <v>4731</v>
      </c>
      <c r="B88" s="27" t="s">
        <v>503</v>
      </c>
      <c r="C88" s="27" t="s">
        <v>414</v>
      </c>
      <c r="D88" s="33" t="s">
        <v>504</v>
      </c>
      <c r="E88" s="2"/>
      <c r="F88" s="2"/>
      <c r="G88" s="2"/>
      <c r="H88" s="2"/>
      <c r="I88" s="7"/>
      <c r="J88" s="31">
        <v>1</v>
      </c>
      <c r="K88" s="31">
        <v>2</v>
      </c>
      <c r="L88" s="35" t="s">
        <v>472</v>
      </c>
      <c r="M88" s="36">
        <v>30000000</v>
      </c>
      <c r="N88" s="36">
        <v>60000000</v>
      </c>
      <c r="O88" s="36">
        <v>60000000</v>
      </c>
      <c r="P88" s="36"/>
      <c r="Q88" s="36"/>
      <c r="R88" s="66" t="s">
        <v>427</v>
      </c>
      <c r="S88" s="66"/>
      <c r="T88" s="66"/>
      <c r="U88" s="66" t="s">
        <v>427</v>
      </c>
      <c r="V88" s="66"/>
      <c r="W88" s="66"/>
      <c r="X88" s="66" t="s">
        <v>427</v>
      </c>
      <c r="Y88" s="66"/>
      <c r="Z88" s="66"/>
      <c r="AA88" s="66" t="s">
        <v>427</v>
      </c>
      <c r="AB88" s="66"/>
      <c r="AC88" s="66"/>
      <c r="AD88" s="66" t="s">
        <v>427</v>
      </c>
      <c r="AE88" s="66"/>
      <c r="AF88" s="66"/>
      <c r="AG88" s="66" t="s">
        <v>427</v>
      </c>
      <c r="AH88" s="66"/>
      <c r="AI88" s="66"/>
      <c r="AJ88" s="66" t="s">
        <v>427</v>
      </c>
      <c r="AK88" s="66"/>
      <c r="AL88" s="66"/>
      <c r="AM88" s="66" t="s">
        <v>427</v>
      </c>
      <c r="AN88" s="66"/>
      <c r="AO88" s="66"/>
      <c r="AP88" s="36">
        <v>60000000</v>
      </c>
      <c r="AQ88" s="66" t="s">
        <v>427</v>
      </c>
      <c r="AR88" s="66"/>
      <c r="AS88" s="66"/>
      <c r="AT88" s="66" t="s">
        <v>427</v>
      </c>
      <c r="AU88" s="66"/>
      <c r="AV88" s="66"/>
      <c r="AW88" s="66" t="s">
        <v>427</v>
      </c>
      <c r="AX88" s="66"/>
      <c r="AY88" s="66"/>
      <c r="AZ88" s="66" t="s">
        <v>427</v>
      </c>
      <c r="BA88" s="66"/>
      <c r="BB88" s="66"/>
      <c r="BC88" s="66" t="s">
        <v>427</v>
      </c>
      <c r="BD88" s="66"/>
      <c r="BE88" s="66"/>
      <c r="BF88" s="66" t="s">
        <v>427</v>
      </c>
      <c r="BG88" s="66"/>
      <c r="BH88" s="66"/>
      <c r="BI88" s="66" t="s">
        <v>427</v>
      </c>
      <c r="BJ88" s="66"/>
      <c r="BK88" s="66"/>
      <c r="BL88" s="66" t="s">
        <v>427</v>
      </c>
      <c r="BM88" s="66"/>
      <c r="BN88" s="66"/>
      <c r="BO88" s="66" t="s">
        <v>427</v>
      </c>
      <c r="BP88" s="66"/>
      <c r="BQ88" s="66"/>
      <c r="BR88" s="70" t="s">
        <v>427</v>
      </c>
      <c r="BS88" s="66"/>
      <c r="BT88" s="4"/>
      <c r="BU88" s="4"/>
      <c r="BV88" s="4"/>
      <c r="BW88" s="4"/>
      <c r="BX88" s="4"/>
    </row>
    <row r="89" ht="15.75" customHeight="1" spans="1:76">
      <c r="A89" s="31">
        <v>4731</v>
      </c>
      <c r="B89" s="27" t="s">
        <v>505</v>
      </c>
      <c r="C89" s="27" t="s">
        <v>414</v>
      </c>
      <c r="D89" s="33" t="s">
        <v>506</v>
      </c>
      <c r="E89" s="2"/>
      <c r="F89" s="2"/>
      <c r="G89" s="2"/>
      <c r="H89" s="2"/>
      <c r="I89" s="7"/>
      <c r="J89" s="31">
        <v>1</v>
      </c>
      <c r="K89" s="31">
        <v>2</v>
      </c>
      <c r="L89" s="35" t="s">
        <v>472</v>
      </c>
      <c r="M89" s="36">
        <v>7000000</v>
      </c>
      <c r="N89" s="36">
        <v>14000000</v>
      </c>
      <c r="O89" s="36">
        <v>14000000</v>
      </c>
      <c r="P89" s="38" t="e">
        <f>SUMIF(#REF!,$P$3&amp;B89,#REF!)</f>
        <v>#REF!</v>
      </c>
      <c r="Q89" s="39" t="e">
        <f t="shared" ref="Q89:Q91" si="168">O89-P89</f>
        <v>#REF!</v>
      </c>
      <c r="R89" s="66">
        <v>0</v>
      </c>
      <c r="S89" s="68">
        <v>0</v>
      </c>
      <c r="T89" s="39" t="e">
        <f t="shared" ref="T89:T91" si="169">Q89+R89-S89</f>
        <v>#REF!</v>
      </c>
      <c r="U89" s="66">
        <v>0</v>
      </c>
      <c r="V89" s="68">
        <v>0</v>
      </c>
      <c r="W89" s="39" t="e">
        <f t="shared" ref="W89:W91" si="170">T89+U89-V89</f>
        <v>#REF!</v>
      </c>
      <c r="X89" s="66">
        <v>0</v>
      </c>
      <c r="Y89" s="68" t="e">
        <f>#REF!+#REF!+#REF!</f>
        <v>#REF!</v>
      </c>
      <c r="Z89" s="67" t="e">
        <f t="shared" ref="Z89:Z91" si="171">W89+X89-Y89</f>
        <v>#REF!</v>
      </c>
      <c r="AA89" s="66">
        <v>0</v>
      </c>
      <c r="AB89" s="68">
        <v>0</v>
      </c>
      <c r="AC89" s="67" t="e">
        <f t="shared" ref="AC89:AC91" si="172">Z89+AA89-AB89</f>
        <v>#REF!</v>
      </c>
      <c r="AD89" s="66">
        <v>0</v>
      </c>
      <c r="AE89" s="68">
        <v>0</v>
      </c>
      <c r="AF89" s="67" t="e">
        <f t="shared" ref="AF89:AF91" si="173">AC89+AD89-AE89</f>
        <v>#REF!</v>
      </c>
      <c r="AG89" s="66">
        <v>0</v>
      </c>
      <c r="AH89" s="69" t="e">
        <f>#REF!</f>
        <v>#REF!</v>
      </c>
      <c r="AI89" s="67" t="e">
        <f t="shared" ref="AI89:AI91" si="174">AF89+AG89-AH89</f>
        <v>#REF!</v>
      </c>
      <c r="AJ89" s="85">
        <v>0</v>
      </c>
      <c r="AK89" s="79">
        <v>0</v>
      </c>
      <c r="AL89" s="80" t="e">
        <f t="shared" ref="AL89:AL91" si="175">AI89+AJ89-AK89</f>
        <v>#REF!</v>
      </c>
      <c r="AM89" s="66">
        <v>0</v>
      </c>
      <c r="AN89" s="51" t="e">
        <f>#REF!</f>
        <v>#REF!</v>
      </c>
      <c r="AO89" s="80" t="e">
        <f t="shared" ref="AO89:AO91" si="176">AL89+AM89-AN89</f>
        <v>#REF!</v>
      </c>
      <c r="AP89" s="36">
        <v>14000000</v>
      </c>
      <c r="AQ89" s="66">
        <v>0</v>
      </c>
      <c r="AR89" s="51">
        <v>0</v>
      </c>
      <c r="AS89" s="80" t="e">
        <f t="shared" ref="AS89:AS91" si="177">AO89+AQ89-AR89</f>
        <v>#REF!</v>
      </c>
      <c r="AT89" s="66">
        <v>0</v>
      </c>
      <c r="AU89" s="51">
        <v>0</v>
      </c>
      <c r="AV89" s="80" t="e">
        <f t="shared" ref="AV89:AV91" si="178">AS89+AT89-AU89</f>
        <v>#REF!</v>
      </c>
      <c r="AW89" s="66">
        <v>0</v>
      </c>
      <c r="AX89" s="51">
        <v>0</v>
      </c>
      <c r="AY89" s="80" t="e">
        <f t="shared" ref="AY89:AY91" si="179">AV89+AW89-AX89</f>
        <v>#REF!</v>
      </c>
      <c r="AZ89" s="66">
        <v>0</v>
      </c>
      <c r="BA89" s="51">
        <v>0</v>
      </c>
      <c r="BB89" s="80" t="e">
        <f t="shared" ref="BB89:BB91" si="180">AY89+AZ89-BA89</f>
        <v>#REF!</v>
      </c>
      <c r="BC89" s="66">
        <v>0</v>
      </c>
      <c r="BD89" s="51">
        <v>0</v>
      </c>
      <c r="BE89" s="80" t="e">
        <f t="shared" ref="BE89:BE91" si="181">BB89+BC89-BD89</f>
        <v>#REF!</v>
      </c>
      <c r="BF89" s="66">
        <v>0</v>
      </c>
      <c r="BG89" s="51">
        <v>0</v>
      </c>
      <c r="BH89" s="80" t="e">
        <f t="shared" ref="BH89:BH91" si="182">BE89+BF89-BG89</f>
        <v>#REF!</v>
      </c>
      <c r="BI89" s="66">
        <v>0</v>
      </c>
      <c r="BJ89" s="51">
        <v>0</v>
      </c>
      <c r="BK89" s="80" t="e">
        <f t="shared" ref="BK89:BK91" si="183">BH89+BI89-BJ89</f>
        <v>#REF!</v>
      </c>
      <c r="BL89" s="66">
        <v>0</v>
      </c>
      <c r="BM89" s="51">
        <v>0</v>
      </c>
      <c r="BN89" s="80" t="e">
        <f t="shared" ref="BN89:BN91" si="184">BK89+BL89-BM89</f>
        <v>#REF!</v>
      </c>
      <c r="BO89" s="66">
        <v>0</v>
      </c>
      <c r="BP89" s="51">
        <v>0</v>
      </c>
      <c r="BQ89" s="80" t="e">
        <f t="shared" ref="BQ89:BQ91" si="185">BN89+BO89-BP89</f>
        <v>#REF!</v>
      </c>
      <c r="BR89" s="70">
        <v>0</v>
      </c>
      <c r="BS89" s="41" t="e">
        <f t="shared" ref="BS89:BS95" si="186">P89+S89+V89+Y89+AB89+AE89+AH89+AK89+AN89+AR89+AU89++AX89+BA89+BD89+BG89+BJ89+BM89+BP89</f>
        <v>#REF!</v>
      </c>
      <c r="BT89" s="4"/>
      <c r="BU89" s="4"/>
      <c r="BV89" s="4"/>
      <c r="BW89" s="4"/>
      <c r="BX89" s="4"/>
    </row>
    <row r="90" ht="15.75" customHeight="1" spans="1:76">
      <c r="A90" s="31">
        <v>4731</v>
      </c>
      <c r="B90" s="27" t="s">
        <v>507</v>
      </c>
      <c r="C90" s="27" t="s">
        <v>414</v>
      </c>
      <c r="D90" s="33" t="s">
        <v>508</v>
      </c>
      <c r="E90" s="2"/>
      <c r="F90" s="2"/>
      <c r="G90" s="2"/>
      <c r="H90" s="2"/>
      <c r="I90" s="7"/>
      <c r="J90" s="31">
        <v>2</v>
      </c>
      <c r="K90" s="31">
        <v>2</v>
      </c>
      <c r="L90" s="35" t="s">
        <v>472</v>
      </c>
      <c r="M90" s="36">
        <v>7000000</v>
      </c>
      <c r="N90" s="36">
        <v>28000000</v>
      </c>
      <c r="O90" s="36">
        <v>28000000</v>
      </c>
      <c r="P90" s="38" t="e">
        <f>SUMIF(#REF!,$P$3&amp;B90,#REF!)</f>
        <v>#REF!</v>
      </c>
      <c r="Q90" s="39" t="e">
        <f t="shared" si="168"/>
        <v>#REF!</v>
      </c>
      <c r="R90" s="66">
        <v>0</v>
      </c>
      <c r="S90" s="68">
        <v>0</v>
      </c>
      <c r="T90" s="39" t="e">
        <f t="shared" si="169"/>
        <v>#REF!</v>
      </c>
      <c r="U90" s="66">
        <v>0</v>
      </c>
      <c r="V90" s="68">
        <v>0</v>
      </c>
      <c r="W90" s="39" t="e">
        <f t="shared" si="170"/>
        <v>#REF!</v>
      </c>
      <c r="X90" s="66">
        <v>0</v>
      </c>
      <c r="Y90" s="68" t="e">
        <f>#REF!+#REF!+#REF!+#REF!+#REF!+#REF!+#REF!+'Salinan dari Monitoring RAB'!J182</f>
        <v>#REF!</v>
      </c>
      <c r="Z90" s="67" t="e">
        <f t="shared" si="171"/>
        <v>#REF!</v>
      </c>
      <c r="AA90" s="66">
        <v>0</v>
      </c>
      <c r="AB90" s="68" t="e">
        <f>#REF!</f>
        <v>#REF!</v>
      </c>
      <c r="AC90" s="67" t="e">
        <f t="shared" si="172"/>
        <v>#REF!</v>
      </c>
      <c r="AD90" s="66">
        <v>0</v>
      </c>
      <c r="AE90" s="68" t="e">
        <f>#REF!</f>
        <v>#REF!</v>
      </c>
      <c r="AF90" s="39" t="e">
        <f t="shared" si="173"/>
        <v>#REF!</v>
      </c>
      <c r="AG90" s="66">
        <v>0</v>
      </c>
      <c r="AH90" s="69" t="e">
        <f>#REF!+#REF!+#REF!+#REF!+#REF!+#REF!+#REF!+#REF!+#REF!+#REF!+#REF!+#REF!</f>
        <v>#REF!</v>
      </c>
      <c r="AI90" s="67" t="e">
        <f t="shared" si="174"/>
        <v>#REF!</v>
      </c>
      <c r="AJ90" s="85">
        <v>0</v>
      </c>
      <c r="AK90" s="79">
        <v>0</v>
      </c>
      <c r="AL90" s="80" t="e">
        <f t="shared" si="175"/>
        <v>#REF!</v>
      </c>
      <c r="AM90" s="66">
        <v>0</v>
      </c>
      <c r="AN90" s="51" t="e">
        <f>#REF!</f>
        <v>#REF!</v>
      </c>
      <c r="AO90" s="80" t="e">
        <f t="shared" si="176"/>
        <v>#REF!</v>
      </c>
      <c r="AP90" s="36">
        <v>28000000</v>
      </c>
      <c r="AQ90" s="66">
        <v>0</v>
      </c>
      <c r="AR90" s="51" t="e">
        <f>#REF!</f>
        <v>#REF!</v>
      </c>
      <c r="AS90" s="80" t="e">
        <f t="shared" si="177"/>
        <v>#REF!</v>
      </c>
      <c r="AT90" s="66">
        <v>0</v>
      </c>
      <c r="AU90" s="51" t="e">
        <f>#REF!</f>
        <v>#REF!</v>
      </c>
      <c r="AV90" s="80" t="e">
        <f t="shared" si="178"/>
        <v>#REF!</v>
      </c>
      <c r="AW90" s="66">
        <v>0</v>
      </c>
      <c r="AX90" s="51">
        <v>0</v>
      </c>
      <c r="AY90" s="80" t="e">
        <f t="shared" si="179"/>
        <v>#REF!</v>
      </c>
      <c r="AZ90" s="66">
        <v>0</v>
      </c>
      <c r="BA90" s="51" t="e">
        <f>#REF!+#REF!+#REF!+#REF!</f>
        <v>#REF!</v>
      </c>
      <c r="BB90" s="80" t="e">
        <f t="shared" si="180"/>
        <v>#REF!</v>
      </c>
      <c r="BC90" s="66">
        <v>0</v>
      </c>
      <c r="BD90" s="94" t="e">
        <f>#REF!+#REF!</f>
        <v>#REF!</v>
      </c>
      <c r="BE90" s="80" t="e">
        <f t="shared" si="181"/>
        <v>#REF!</v>
      </c>
      <c r="BF90" s="66">
        <v>0</v>
      </c>
      <c r="BG90" s="51" t="e">
        <f>#REF!+#REF!</f>
        <v>#REF!</v>
      </c>
      <c r="BH90" s="80" t="e">
        <f t="shared" si="182"/>
        <v>#REF!</v>
      </c>
      <c r="BI90" s="66">
        <v>0</v>
      </c>
      <c r="BJ90" s="51">
        <v>0</v>
      </c>
      <c r="BK90" s="80" t="e">
        <f t="shared" si="183"/>
        <v>#REF!</v>
      </c>
      <c r="BL90" s="66">
        <v>0</v>
      </c>
      <c r="BM90" s="51" t="e">
        <f>#REF!</f>
        <v>#REF!</v>
      </c>
      <c r="BN90" s="80" t="e">
        <f t="shared" si="184"/>
        <v>#REF!</v>
      </c>
      <c r="BO90" s="66">
        <v>0</v>
      </c>
      <c r="BP90" s="51">
        <v>0</v>
      </c>
      <c r="BQ90" s="80" t="e">
        <f t="shared" si="185"/>
        <v>#REF!</v>
      </c>
      <c r="BR90" s="70">
        <v>0</v>
      </c>
      <c r="BS90" s="41" t="e">
        <f t="shared" si="186"/>
        <v>#REF!</v>
      </c>
      <c r="BT90" s="4"/>
      <c r="BU90" s="4"/>
      <c r="BV90" s="4"/>
      <c r="BW90" s="4"/>
      <c r="BX90" s="4"/>
    </row>
    <row r="91" ht="15.75" customHeight="1" spans="1:76">
      <c r="A91" s="31">
        <v>4731</v>
      </c>
      <c r="B91" s="27" t="s">
        <v>509</v>
      </c>
      <c r="C91" s="27" t="s">
        <v>414</v>
      </c>
      <c r="D91" s="33" t="s">
        <v>510</v>
      </c>
      <c r="E91" s="2"/>
      <c r="F91" s="2"/>
      <c r="G91" s="2"/>
      <c r="H91" s="2"/>
      <c r="I91" s="7"/>
      <c r="J91" s="31">
        <v>1</v>
      </c>
      <c r="K91" s="31">
        <v>2</v>
      </c>
      <c r="L91" s="35" t="s">
        <v>472</v>
      </c>
      <c r="M91" s="36">
        <v>500000</v>
      </c>
      <c r="N91" s="36">
        <v>1000000</v>
      </c>
      <c r="O91" s="36">
        <v>1000000</v>
      </c>
      <c r="P91" s="38" t="e">
        <f>SUMIF(#REF!,$P$3&amp;B91,#REF!)</f>
        <v>#REF!</v>
      </c>
      <c r="Q91" s="39" t="e">
        <f t="shared" si="168"/>
        <v>#REF!</v>
      </c>
      <c r="R91" s="85">
        <v>0</v>
      </c>
      <c r="S91" s="79">
        <v>0</v>
      </c>
      <c r="T91" s="80" t="e">
        <f t="shared" si="169"/>
        <v>#REF!</v>
      </c>
      <c r="U91" s="85">
        <v>0</v>
      </c>
      <c r="V91" s="79">
        <v>0</v>
      </c>
      <c r="W91" s="80" t="e">
        <f t="shared" si="170"/>
        <v>#REF!</v>
      </c>
      <c r="X91" s="85">
        <v>0</v>
      </c>
      <c r="Y91" s="79">
        <v>0</v>
      </c>
      <c r="Z91" s="80" t="e">
        <f t="shared" si="171"/>
        <v>#REF!</v>
      </c>
      <c r="AA91" s="85">
        <v>0</v>
      </c>
      <c r="AB91" s="79">
        <v>0</v>
      </c>
      <c r="AC91" s="80" t="e">
        <f t="shared" si="172"/>
        <v>#REF!</v>
      </c>
      <c r="AD91" s="85">
        <v>0</v>
      </c>
      <c r="AE91" s="79">
        <v>0</v>
      </c>
      <c r="AF91" s="80" t="e">
        <f t="shared" si="173"/>
        <v>#REF!</v>
      </c>
      <c r="AG91" s="85">
        <v>0</v>
      </c>
      <c r="AH91" s="79">
        <v>0</v>
      </c>
      <c r="AI91" s="80" t="e">
        <f t="shared" si="174"/>
        <v>#REF!</v>
      </c>
      <c r="AJ91" s="85">
        <v>0</v>
      </c>
      <c r="AK91" s="79">
        <v>0</v>
      </c>
      <c r="AL91" s="80" t="e">
        <f t="shared" si="175"/>
        <v>#REF!</v>
      </c>
      <c r="AM91" s="66">
        <v>0</v>
      </c>
      <c r="AN91" s="51">
        <v>0</v>
      </c>
      <c r="AO91" s="80" t="e">
        <f t="shared" si="176"/>
        <v>#REF!</v>
      </c>
      <c r="AP91" s="36">
        <v>1000000</v>
      </c>
      <c r="AQ91" s="66">
        <v>0</v>
      </c>
      <c r="AR91" s="51">
        <v>0</v>
      </c>
      <c r="AS91" s="80" t="e">
        <f t="shared" si="177"/>
        <v>#REF!</v>
      </c>
      <c r="AT91" s="66">
        <v>0</v>
      </c>
      <c r="AU91" s="51">
        <v>0</v>
      </c>
      <c r="AV91" s="80" t="e">
        <f t="shared" si="178"/>
        <v>#REF!</v>
      </c>
      <c r="AW91" s="66">
        <v>0</v>
      </c>
      <c r="AX91" s="51">
        <v>0</v>
      </c>
      <c r="AY91" s="80" t="e">
        <f t="shared" si="179"/>
        <v>#REF!</v>
      </c>
      <c r="AZ91" s="66">
        <v>0</v>
      </c>
      <c r="BA91" s="51">
        <v>0</v>
      </c>
      <c r="BB91" s="80" t="e">
        <f t="shared" si="180"/>
        <v>#REF!</v>
      </c>
      <c r="BC91" s="66">
        <v>0</v>
      </c>
      <c r="BD91" s="51">
        <v>0</v>
      </c>
      <c r="BE91" s="80" t="e">
        <f t="shared" si="181"/>
        <v>#REF!</v>
      </c>
      <c r="BF91" s="66">
        <v>0</v>
      </c>
      <c r="BG91" s="51">
        <v>0</v>
      </c>
      <c r="BH91" s="80" t="e">
        <f t="shared" si="182"/>
        <v>#REF!</v>
      </c>
      <c r="BI91" s="66">
        <v>0</v>
      </c>
      <c r="BJ91" s="51">
        <v>0</v>
      </c>
      <c r="BK91" s="80" t="e">
        <f t="shared" si="183"/>
        <v>#REF!</v>
      </c>
      <c r="BL91" s="66">
        <v>0</v>
      </c>
      <c r="BM91" s="51">
        <v>0</v>
      </c>
      <c r="BN91" s="80" t="e">
        <f t="shared" si="184"/>
        <v>#REF!</v>
      </c>
      <c r="BO91" s="66">
        <v>0</v>
      </c>
      <c r="BP91" s="51">
        <v>0</v>
      </c>
      <c r="BQ91" s="80" t="e">
        <f t="shared" si="185"/>
        <v>#REF!</v>
      </c>
      <c r="BR91" s="70">
        <v>0</v>
      </c>
      <c r="BS91" s="41" t="e">
        <f t="shared" si="186"/>
        <v>#REF!</v>
      </c>
      <c r="BT91" s="4"/>
      <c r="BU91" s="4"/>
      <c r="BV91" s="4"/>
      <c r="BW91" s="4"/>
      <c r="BX91" s="4"/>
    </row>
    <row r="92" ht="15.75" customHeight="1" spans="1:76">
      <c r="A92" s="24"/>
      <c r="B92" s="56" t="s">
        <v>408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7"/>
      <c r="N92" s="95">
        <f t="shared" ref="N92:BR92" si="187">N79+N84+N87</f>
        <v>203440000</v>
      </c>
      <c r="O92" s="57">
        <f t="shared" si="187"/>
        <v>193580000</v>
      </c>
      <c r="P92" s="58" t="e">
        <f t="shared" si="187"/>
        <v>#REF!</v>
      </c>
      <c r="Q92" s="58" t="e">
        <f t="shared" si="187"/>
        <v>#REF!</v>
      </c>
      <c r="R92" s="57">
        <f t="shared" si="187"/>
        <v>580000</v>
      </c>
      <c r="S92" s="58">
        <f t="shared" si="187"/>
        <v>0</v>
      </c>
      <c r="T92" s="58" t="e">
        <f t="shared" si="187"/>
        <v>#REF!</v>
      </c>
      <c r="U92" s="57">
        <f t="shared" si="187"/>
        <v>580000</v>
      </c>
      <c r="V92" s="58">
        <f t="shared" si="187"/>
        <v>0</v>
      </c>
      <c r="W92" s="58" t="e">
        <f t="shared" si="187"/>
        <v>#REF!</v>
      </c>
      <c r="X92" s="57">
        <f t="shared" si="187"/>
        <v>580000</v>
      </c>
      <c r="Y92" s="58" t="e">
        <f t="shared" si="187"/>
        <v>#REF!</v>
      </c>
      <c r="Z92" s="58" t="e">
        <f t="shared" si="187"/>
        <v>#REF!</v>
      </c>
      <c r="AA92" s="57">
        <f t="shared" si="187"/>
        <v>580000</v>
      </c>
      <c r="AB92" s="58" t="e">
        <f t="shared" si="187"/>
        <v>#REF!</v>
      </c>
      <c r="AC92" s="58" t="e">
        <f t="shared" si="187"/>
        <v>#REF!</v>
      </c>
      <c r="AD92" s="57">
        <f t="shared" si="187"/>
        <v>580000</v>
      </c>
      <c r="AE92" s="58" t="e">
        <f t="shared" si="187"/>
        <v>#REF!</v>
      </c>
      <c r="AF92" s="58" t="e">
        <f t="shared" si="187"/>
        <v>#REF!</v>
      </c>
      <c r="AG92" s="57">
        <f t="shared" si="187"/>
        <v>580000</v>
      </c>
      <c r="AH92" s="58" t="e">
        <f t="shared" si="187"/>
        <v>#REF!</v>
      </c>
      <c r="AI92" s="58" t="e">
        <f t="shared" si="187"/>
        <v>#REF!</v>
      </c>
      <c r="AJ92" s="57">
        <f t="shared" si="187"/>
        <v>580000</v>
      </c>
      <c r="AK92" s="58">
        <f t="shared" si="187"/>
        <v>0</v>
      </c>
      <c r="AL92" s="58" t="e">
        <f t="shared" si="187"/>
        <v>#REF!</v>
      </c>
      <c r="AM92" s="57">
        <f t="shared" si="187"/>
        <v>580000</v>
      </c>
      <c r="AN92" s="58" t="e">
        <f t="shared" si="187"/>
        <v>#REF!</v>
      </c>
      <c r="AO92" s="58" t="e">
        <f t="shared" si="187"/>
        <v>#REF!</v>
      </c>
      <c r="AP92" s="57">
        <f t="shared" si="187"/>
        <v>198220000</v>
      </c>
      <c r="AQ92" s="57">
        <f t="shared" si="187"/>
        <v>580000</v>
      </c>
      <c r="AR92" s="58" t="e">
        <f t="shared" si="187"/>
        <v>#REF!</v>
      </c>
      <c r="AS92" s="58" t="e">
        <f t="shared" si="187"/>
        <v>#REF!</v>
      </c>
      <c r="AT92" s="57">
        <f t="shared" si="187"/>
        <v>580000</v>
      </c>
      <c r="AU92" s="58" t="e">
        <f t="shared" si="187"/>
        <v>#REF!</v>
      </c>
      <c r="AV92" s="58" t="e">
        <f t="shared" si="187"/>
        <v>#REF!</v>
      </c>
      <c r="AW92" s="57">
        <f t="shared" si="187"/>
        <v>580000</v>
      </c>
      <c r="AX92" s="58" t="e">
        <f t="shared" si="187"/>
        <v>#REF!</v>
      </c>
      <c r="AY92" s="58" t="e">
        <f t="shared" si="187"/>
        <v>#REF!</v>
      </c>
      <c r="AZ92" s="57">
        <f t="shared" si="187"/>
        <v>580000</v>
      </c>
      <c r="BA92" s="58" t="e">
        <f t="shared" si="187"/>
        <v>#REF!</v>
      </c>
      <c r="BB92" s="58" t="e">
        <f t="shared" si="187"/>
        <v>#REF!</v>
      </c>
      <c r="BC92" s="57">
        <f t="shared" si="187"/>
        <v>580000</v>
      </c>
      <c r="BD92" s="58" t="e">
        <f t="shared" si="187"/>
        <v>#REF!</v>
      </c>
      <c r="BE92" s="58" t="e">
        <f t="shared" si="187"/>
        <v>#REF!</v>
      </c>
      <c r="BF92" s="57">
        <f t="shared" si="187"/>
        <v>580000</v>
      </c>
      <c r="BG92" s="58" t="e">
        <f t="shared" si="187"/>
        <v>#REF!</v>
      </c>
      <c r="BH92" s="58" t="e">
        <f t="shared" si="187"/>
        <v>#REF!</v>
      </c>
      <c r="BI92" s="57">
        <f t="shared" si="187"/>
        <v>580000</v>
      </c>
      <c r="BJ92" s="58">
        <f t="shared" si="187"/>
        <v>0</v>
      </c>
      <c r="BK92" s="58" t="e">
        <f t="shared" si="187"/>
        <v>#REF!</v>
      </c>
      <c r="BL92" s="57">
        <f t="shared" si="187"/>
        <v>580000</v>
      </c>
      <c r="BM92" s="58" t="e">
        <f t="shared" si="187"/>
        <v>#REF!</v>
      </c>
      <c r="BN92" s="58" t="e">
        <f t="shared" si="187"/>
        <v>#REF!</v>
      </c>
      <c r="BO92" s="57">
        <f t="shared" si="187"/>
        <v>580000</v>
      </c>
      <c r="BP92" s="58">
        <f t="shared" si="187"/>
        <v>0</v>
      </c>
      <c r="BQ92" s="58" t="e">
        <f t="shared" si="187"/>
        <v>#REF!</v>
      </c>
      <c r="BR92" s="59">
        <f t="shared" si="187"/>
        <v>5220000</v>
      </c>
      <c r="BS92" s="58" t="e">
        <f t="shared" si="186"/>
        <v>#REF!</v>
      </c>
      <c r="BT92" s="4"/>
      <c r="BU92" s="4"/>
      <c r="BV92" s="4"/>
      <c r="BW92" s="4"/>
      <c r="BX92" s="4"/>
    </row>
    <row r="93" ht="15.75" customHeight="1" spans="1:76">
      <c r="A93" s="15"/>
      <c r="B93" s="16" t="s">
        <v>511</v>
      </c>
      <c r="C93" s="15"/>
      <c r="D93" s="23" t="s">
        <v>512</v>
      </c>
      <c r="E93" s="96"/>
      <c r="F93" s="96"/>
      <c r="G93" s="96"/>
      <c r="H93" s="96"/>
      <c r="I93" s="96"/>
      <c r="J93" s="96"/>
      <c r="K93" s="96"/>
      <c r="L93" s="2"/>
      <c r="M93" s="96"/>
      <c r="N93" s="97">
        <f t="shared" ref="N93:O93" si="188">SUM(N94:N95)</f>
        <v>655333875</v>
      </c>
      <c r="O93" s="97">
        <f t="shared" si="188"/>
        <v>36407437.5</v>
      </c>
      <c r="P93" s="97"/>
      <c r="Q93" s="97"/>
      <c r="R93" s="97">
        <f>SUM(R94:R95)</f>
        <v>36407437.5</v>
      </c>
      <c r="S93" s="97"/>
      <c r="T93" s="97"/>
      <c r="U93" s="97">
        <f>SUM(U94:U95)</f>
        <v>36407437.5</v>
      </c>
      <c r="V93" s="97"/>
      <c r="W93" s="97"/>
      <c r="X93" s="97">
        <f>SUM(X94:X95)</f>
        <v>36407437.5</v>
      </c>
      <c r="Y93" s="97"/>
      <c r="Z93" s="97"/>
      <c r="AA93" s="97">
        <f>SUM(AA94:AA95)</f>
        <v>36407437.5</v>
      </c>
      <c r="AB93" s="97"/>
      <c r="AC93" s="97"/>
      <c r="AD93" s="97">
        <f>SUM(AD94:AD95)</f>
        <v>36407437.5</v>
      </c>
      <c r="AE93" s="97"/>
      <c r="AF93" s="97"/>
      <c r="AG93" s="97">
        <f>SUM(AG94:AG95)</f>
        <v>36407437.5</v>
      </c>
      <c r="AH93" s="98"/>
      <c r="AI93" s="98"/>
      <c r="AJ93" s="97">
        <f>SUM(AJ94:AJ95)</f>
        <v>36407437.5</v>
      </c>
      <c r="AK93" s="97"/>
      <c r="AL93" s="97"/>
      <c r="AM93" s="97">
        <f>SUM(AM94:AM95)</f>
        <v>36407437.5</v>
      </c>
      <c r="AN93" s="97"/>
      <c r="AO93" s="97"/>
      <c r="AP93" s="97">
        <f t="shared" ref="AP93:AQ93" si="189">SUM(AP94:AP95)</f>
        <v>327666938</v>
      </c>
      <c r="AQ93" s="97">
        <f t="shared" si="189"/>
        <v>36407437.5</v>
      </c>
      <c r="AR93" s="97"/>
      <c r="AS93" s="97"/>
      <c r="AT93" s="97">
        <f>SUM(AT94:AT95)</f>
        <v>36407437.5</v>
      </c>
      <c r="AU93" s="97"/>
      <c r="AV93" s="97"/>
      <c r="AW93" s="97">
        <f>SUM(AW94:AW95)</f>
        <v>36407437.5</v>
      </c>
      <c r="AX93" s="97"/>
      <c r="AY93" s="97"/>
      <c r="AZ93" s="97">
        <f>SUM(AZ94:AZ95)</f>
        <v>36407437.5</v>
      </c>
      <c r="BA93" s="97"/>
      <c r="BB93" s="97"/>
      <c r="BC93" s="97">
        <f>SUM(BC94:BC95)</f>
        <v>36407437.5</v>
      </c>
      <c r="BD93" s="97"/>
      <c r="BE93" s="97"/>
      <c r="BF93" s="97">
        <f>SUM(BF94:BF95)</f>
        <v>36407437.5</v>
      </c>
      <c r="BG93" s="97"/>
      <c r="BH93" s="97"/>
      <c r="BI93" s="97">
        <f>SUM(BI94:BI95)</f>
        <v>36407437.5</v>
      </c>
      <c r="BJ93" s="97"/>
      <c r="BK93" s="97"/>
      <c r="BL93" s="97">
        <f>SUM(BL94:BL95)</f>
        <v>36407437.5</v>
      </c>
      <c r="BM93" s="97"/>
      <c r="BN93" s="97"/>
      <c r="BO93" s="97">
        <f>SUM(BO94:BO95)</f>
        <v>36407437.5</v>
      </c>
      <c r="BP93" s="97"/>
      <c r="BQ93" s="97"/>
      <c r="BR93" s="99">
        <f>SUM(BR94:BR95)</f>
        <v>327666938</v>
      </c>
      <c r="BS93" s="41">
        <f t="shared" si="186"/>
        <v>0</v>
      </c>
      <c r="BT93" s="4"/>
      <c r="BU93" s="4"/>
      <c r="BV93" s="4"/>
      <c r="BW93" s="4"/>
      <c r="BX93" s="4"/>
    </row>
    <row r="94" ht="15.75" customHeight="1" spans="1:76">
      <c r="A94" s="24"/>
      <c r="B94" s="24"/>
      <c r="C94" s="27" t="s">
        <v>414</v>
      </c>
      <c r="D94" s="33" t="s">
        <v>513</v>
      </c>
      <c r="E94" s="2"/>
      <c r="F94" s="2"/>
      <c r="G94" s="2"/>
      <c r="H94" s="2"/>
      <c r="I94" s="7"/>
      <c r="J94" s="100">
        <v>0.005</v>
      </c>
      <c r="K94" s="24"/>
      <c r="L94" s="24"/>
      <c r="M94" s="24"/>
      <c r="N94" s="86">
        <v>72814875</v>
      </c>
      <c r="O94" s="36">
        <v>4045270.83</v>
      </c>
      <c r="P94" s="36"/>
      <c r="Q94" s="36"/>
      <c r="R94" s="36">
        <v>4045270.83</v>
      </c>
      <c r="S94" s="36"/>
      <c r="T94" s="36"/>
      <c r="U94" s="36">
        <v>4045270.83</v>
      </c>
      <c r="V94" s="36"/>
      <c r="W94" s="36"/>
      <c r="X94" s="48">
        <v>4045270.83</v>
      </c>
      <c r="Y94" s="48"/>
      <c r="Z94" s="48"/>
      <c r="AA94" s="36">
        <v>4045270.83</v>
      </c>
      <c r="AB94" s="36"/>
      <c r="AC94" s="36"/>
      <c r="AD94" s="36">
        <v>4045270.83</v>
      </c>
      <c r="AE94" s="36"/>
      <c r="AF94" s="36"/>
      <c r="AG94" s="48">
        <v>4045270.83</v>
      </c>
      <c r="AH94" s="48"/>
      <c r="AI94" s="48"/>
      <c r="AJ94" s="36">
        <v>4045270.83</v>
      </c>
      <c r="AK94" s="36"/>
      <c r="AL94" s="36"/>
      <c r="AM94" s="36">
        <v>4045270.83</v>
      </c>
      <c r="AN94" s="36"/>
      <c r="AO94" s="36"/>
      <c r="AP94" s="36">
        <v>36407438</v>
      </c>
      <c r="AQ94" s="36">
        <v>4045270.83</v>
      </c>
      <c r="AR94" s="36"/>
      <c r="AS94" s="36"/>
      <c r="AT94" s="36">
        <v>4045270.83</v>
      </c>
      <c r="AU94" s="36"/>
      <c r="AV94" s="36"/>
      <c r="AW94" s="36">
        <v>4045270.83</v>
      </c>
      <c r="AX94" s="36"/>
      <c r="AY94" s="36"/>
      <c r="AZ94" s="48">
        <v>4045270.83</v>
      </c>
      <c r="BA94" s="36"/>
      <c r="BB94" s="36"/>
      <c r="BC94" s="36">
        <v>4045270.83</v>
      </c>
      <c r="BD94" s="36"/>
      <c r="BE94" s="36"/>
      <c r="BF94" s="36">
        <v>4045270.83</v>
      </c>
      <c r="BG94" s="36"/>
      <c r="BH94" s="36"/>
      <c r="BI94" s="36">
        <v>4045270.83</v>
      </c>
      <c r="BJ94" s="36"/>
      <c r="BK94" s="36"/>
      <c r="BL94" s="36">
        <v>4045270.83</v>
      </c>
      <c r="BM94" s="36"/>
      <c r="BN94" s="36"/>
      <c r="BO94" s="36">
        <v>4045270.83</v>
      </c>
      <c r="BP94" s="36"/>
      <c r="BQ94" s="36"/>
      <c r="BR94" s="46">
        <v>36407438</v>
      </c>
      <c r="BS94" s="41">
        <f t="shared" si="186"/>
        <v>0</v>
      </c>
      <c r="BT94" s="4"/>
      <c r="BU94" s="4"/>
      <c r="BV94" s="4"/>
      <c r="BW94" s="4"/>
      <c r="BX94" s="4"/>
    </row>
    <row r="95" ht="15.75" customHeight="1" spans="1:76">
      <c r="A95" s="24"/>
      <c r="B95" s="24"/>
      <c r="C95" s="101" t="s">
        <v>379</v>
      </c>
      <c r="D95" s="102" t="s">
        <v>514</v>
      </c>
      <c r="E95" s="2"/>
      <c r="F95" s="2"/>
      <c r="G95" s="2"/>
      <c r="H95" s="2"/>
      <c r="I95" s="7"/>
      <c r="J95" s="103">
        <v>0.04</v>
      </c>
      <c r="K95" s="24"/>
      <c r="L95" s="24"/>
      <c r="M95" s="24"/>
      <c r="N95" s="36">
        <v>582519000</v>
      </c>
      <c r="O95" s="36">
        <v>32362166.67</v>
      </c>
      <c r="P95" s="36"/>
      <c r="Q95" s="36"/>
      <c r="R95" s="36">
        <v>32362166.67</v>
      </c>
      <c r="S95" s="36"/>
      <c r="T95" s="36"/>
      <c r="U95" s="36">
        <v>32362166.67</v>
      </c>
      <c r="V95" s="36"/>
      <c r="W95" s="36"/>
      <c r="X95" s="48">
        <v>32362166.67</v>
      </c>
      <c r="Y95" s="48"/>
      <c r="Z95" s="48"/>
      <c r="AA95" s="36">
        <v>32362166.67</v>
      </c>
      <c r="AB95" s="36"/>
      <c r="AC95" s="36"/>
      <c r="AD95" s="36">
        <v>32362166.67</v>
      </c>
      <c r="AE95" s="36"/>
      <c r="AF95" s="36"/>
      <c r="AG95" s="48">
        <v>32362166.67</v>
      </c>
      <c r="AH95" s="48"/>
      <c r="AI95" s="48"/>
      <c r="AJ95" s="36">
        <v>32362166.67</v>
      </c>
      <c r="AK95" s="36"/>
      <c r="AL95" s="36"/>
      <c r="AM95" s="36">
        <v>32362166.67</v>
      </c>
      <c r="AN95" s="36"/>
      <c r="AO95" s="36"/>
      <c r="AP95" s="36">
        <v>291259500</v>
      </c>
      <c r="AQ95" s="36">
        <v>32362166.67</v>
      </c>
      <c r="AR95" s="36"/>
      <c r="AS95" s="36"/>
      <c r="AT95" s="36">
        <v>32362166.67</v>
      </c>
      <c r="AU95" s="36"/>
      <c r="AV95" s="36"/>
      <c r="AW95" s="36">
        <v>32362166.67</v>
      </c>
      <c r="AX95" s="36"/>
      <c r="AY95" s="36"/>
      <c r="AZ95" s="48">
        <v>32362166.67</v>
      </c>
      <c r="BA95" s="36"/>
      <c r="BB95" s="36"/>
      <c r="BC95" s="36">
        <v>32362166.67</v>
      </c>
      <c r="BD95" s="36"/>
      <c r="BE95" s="36"/>
      <c r="BF95" s="36">
        <v>32362166.67</v>
      </c>
      <c r="BG95" s="36"/>
      <c r="BH95" s="36"/>
      <c r="BI95" s="36">
        <v>32362166.67</v>
      </c>
      <c r="BJ95" s="36"/>
      <c r="BK95" s="36"/>
      <c r="BL95" s="36">
        <v>32362166.67</v>
      </c>
      <c r="BM95" s="36"/>
      <c r="BN95" s="36"/>
      <c r="BO95" s="36">
        <v>32362166.67</v>
      </c>
      <c r="BP95" s="36"/>
      <c r="BQ95" s="36"/>
      <c r="BR95" s="46">
        <v>291259500</v>
      </c>
      <c r="BS95" s="41">
        <f t="shared" si="186"/>
        <v>0</v>
      </c>
      <c r="BT95" s="4"/>
      <c r="BU95" s="4"/>
      <c r="BV95" s="4"/>
      <c r="BW95" s="104"/>
      <c r="BX95" s="105"/>
    </row>
    <row r="96" ht="15.75" customHeight="1" spans="1:76">
      <c r="A96" s="24"/>
      <c r="B96" s="54"/>
      <c r="C96" s="2"/>
      <c r="D96" s="2"/>
      <c r="E96" s="2"/>
      <c r="F96" s="2"/>
      <c r="G96" s="2"/>
      <c r="H96" s="2"/>
      <c r="I96" s="2"/>
      <c r="J96" s="2"/>
      <c r="K96" s="2"/>
      <c r="L96" s="2"/>
      <c r="M96" s="7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54"/>
      <c r="BS96" s="24"/>
      <c r="BT96" s="4"/>
      <c r="BU96" s="4"/>
      <c r="BV96" s="4"/>
      <c r="BW96" s="4"/>
      <c r="BX96" s="4"/>
    </row>
    <row r="97" ht="15.75" customHeight="1" spans="1:76">
      <c r="A97" s="6" t="s">
        <v>515</v>
      </c>
      <c r="B97" s="2"/>
      <c r="C97" s="2"/>
      <c r="D97" s="2"/>
      <c r="E97" s="2"/>
      <c r="F97" s="2"/>
      <c r="G97" s="2"/>
      <c r="H97" s="2"/>
      <c r="I97" s="2"/>
      <c r="J97" s="7"/>
      <c r="K97" s="106" t="s">
        <v>516</v>
      </c>
      <c r="L97" s="107"/>
      <c r="M97" s="108"/>
      <c r="N97" s="109">
        <v>14562975000</v>
      </c>
      <c r="O97" s="95">
        <v>1168108333.33</v>
      </c>
      <c r="P97" s="95"/>
      <c r="Q97" s="95"/>
      <c r="R97" s="95">
        <v>1168108333.33</v>
      </c>
      <c r="S97" s="95"/>
      <c r="T97" s="95"/>
      <c r="U97" s="95">
        <v>1168108333.33</v>
      </c>
      <c r="V97" s="95"/>
      <c r="W97" s="95"/>
      <c r="X97" s="110">
        <v>1168108333.33</v>
      </c>
      <c r="Y97" s="110"/>
      <c r="Z97" s="110"/>
      <c r="AA97" s="95">
        <v>1168108333.33</v>
      </c>
      <c r="AB97" s="95"/>
      <c r="AC97" s="95"/>
      <c r="AD97" s="95">
        <v>1168108333.33</v>
      </c>
      <c r="AE97" s="95"/>
      <c r="AF97" s="95"/>
      <c r="AG97" s="95">
        <v>1168108333.33</v>
      </c>
      <c r="AH97" s="95"/>
      <c r="AI97" s="95"/>
      <c r="AJ97" s="95">
        <v>1168108333.33</v>
      </c>
      <c r="AK97" s="95"/>
      <c r="AL97" s="95"/>
      <c r="AM97" s="95">
        <v>1168108333.33</v>
      </c>
      <c r="AN97" s="95"/>
      <c r="AO97" s="95"/>
      <c r="AP97" s="95">
        <v>10512975000</v>
      </c>
      <c r="AQ97" s="95">
        <v>450000000</v>
      </c>
      <c r="AR97" s="95"/>
      <c r="AS97" s="95"/>
      <c r="AT97" s="95">
        <v>450000000</v>
      </c>
      <c r="AU97" s="95"/>
      <c r="AV97" s="95"/>
      <c r="AW97" s="95">
        <v>450000000</v>
      </c>
      <c r="AX97" s="95"/>
      <c r="AY97" s="95"/>
      <c r="AZ97" s="110">
        <v>450000000</v>
      </c>
      <c r="BA97" s="95"/>
      <c r="BB97" s="95"/>
      <c r="BC97" s="95">
        <v>450000000</v>
      </c>
      <c r="BD97" s="95"/>
      <c r="BE97" s="95"/>
      <c r="BF97" s="95">
        <v>450000000</v>
      </c>
      <c r="BG97" s="95"/>
      <c r="BH97" s="95"/>
      <c r="BI97" s="95">
        <v>450000000</v>
      </c>
      <c r="BJ97" s="95"/>
      <c r="BK97" s="95"/>
      <c r="BL97" s="95">
        <v>450000000</v>
      </c>
      <c r="BM97" s="95"/>
      <c r="BN97" s="95"/>
      <c r="BO97" s="95">
        <v>450000000</v>
      </c>
      <c r="BP97" s="95"/>
      <c r="BQ97" s="95"/>
      <c r="BR97" s="111">
        <v>4050000000</v>
      </c>
      <c r="BS97" s="57"/>
      <c r="BT97" s="4"/>
      <c r="BU97" s="4"/>
      <c r="BV97" s="4"/>
      <c r="BW97" s="4"/>
      <c r="BX97" s="4"/>
    </row>
    <row r="98" ht="15.75" customHeight="1" spans="1:76">
      <c r="A98" s="54"/>
      <c r="B98" s="2"/>
      <c r="C98" s="2"/>
      <c r="D98" s="2"/>
      <c r="E98" s="2"/>
      <c r="F98" s="2"/>
      <c r="G98" s="2"/>
      <c r="H98" s="2"/>
      <c r="I98" s="2"/>
      <c r="J98" s="7"/>
      <c r="K98" s="112" t="s">
        <v>517</v>
      </c>
      <c r="M98" s="113">
        <v>0.79</v>
      </c>
      <c r="N98" s="114">
        <v>11560607576</v>
      </c>
      <c r="O98" s="115">
        <v>3502501865</v>
      </c>
      <c r="P98" s="115"/>
      <c r="Q98" s="115"/>
      <c r="R98" s="115">
        <v>2216923865</v>
      </c>
      <c r="S98" s="115"/>
      <c r="T98" s="115"/>
      <c r="U98" s="115">
        <v>1220637199</v>
      </c>
      <c r="V98" s="115"/>
      <c r="W98" s="115"/>
      <c r="X98" s="116">
        <v>171687199</v>
      </c>
      <c r="Y98" s="116"/>
      <c r="Z98" s="116"/>
      <c r="AA98" s="115">
        <v>171687199</v>
      </c>
      <c r="AB98" s="115"/>
      <c r="AC98" s="115"/>
      <c r="AD98" s="115">
        <v>171687199</v>
      </c>
      <c r="AE98" s="115"/>
      <c r="AF98" s="115"/>
      <c r="AG98" s="116">
        <v>171687199</v>
      </c>
      <c r="AH98" s="116"/>
      <c r="AI98" s="116"/>
      <c r="AJ98" s="115">
        <v>171687199</v>
      </c>
      <c r="AK98" s="115"/>
      <c r="AL98" s="115"/>
      <c r="AM98" s="115">
        <v>171687199</v>
      </c>
      <c r="AN98" s="115"/>
      <c r="AO98" s="115"/>
      <c r="AP98" s="115">
        <v>7970186122</v>
      </c>
      <c r="AQ98" s="115">
        <v>2216923865</v>
      </c>
      <c r="AR98" s="115"/>
      <c r="AS98" s="115"/>
      <c r="AT98" s="115">
        <v>171687199</v>
      </c>
      <c r="AU98" s="115"/>
      <c r="AV98" s="115"/>
      <c r="AW98" s="115">
        <v>171687199</v>
      </c>
      <c r="AX98" s="115"/>
      <c r="AY98" s="115"/>
      <c r="AZ98" s="116">
        <v>171687199</v>
      </c>
      <c r="BA98" s="115"/>
      <c r="BB98" s="115"/>
      <c r="BC98" s="115">
        <v>171687199</v>
      </c>
      <c r="BD98" s="115"/>
      <c r="BE98" s="115"/>
      <c r="BF98" s="115">
        <v>171687199</v>
      </c>
      <c r="BG98" s="115"/>
      <c r="BH98" s="115"/>
      <c r="BI98" s="115">
        <v>171687199</v>
      </c>
      <c r="BJ98" s="115"/>
      <c r="BK98" s="115"/>
      <c r="BL98" s="115">
        <v>171687199</v>
      </c>
      <c r="BM98" s="115"/>
      <c r="BN98" s="115"/>
      <c r="BO98" s="115">
        <v>171687199</v>
      </c>
      <c r="BP98" s="115"/>
      <c r="BQ98" s="115"/>
      <c r="BR98" s="117">
        <v>3590421455</v>
      </c>
      <c r="BS98" s="57"/>
      <c r="BT98" s="4"/>
      <c r="BU98" s="4"/>
      <c r="BV98" s="4"/>
      <c r="BW98" s="4"/>
      <c r="BX98" s="4"/>
    </row>
    <row r="99" ht="15.75" customHeight="1" spans="1:76">
      <c r="A99" s="54"/>
      <c r="B99" s="2"/>
      <c r="C99" s="2"/>
      <c r="D99" s="2"/>
      <c r="E99" s="2"/>
      <c r="F99" s="2"/>
      <c r="G99" s="2"/>
      <c r="H99" s="2"/>
      <c r="I99" s="2"/>
      <c r="J99" s="7"/>
      <c r="K99" s="112" t="s">
        <v>513</v>
      </c>
      <c r="M99" s="113">
        <v>0.01</v>
      </c>
      <c r="N99" s="114">
        <v>72814875</v>
      </c>
      <c r="O99" s="115">
        <v>4045271</v>
      </c>
      <c r="P99" s="115"/>
      <c r="Q99" s="115"/>
      <c r="R99" s="115">
        <v>4045271</v>
      </c>
      <c r="S99" s="115"/>
      <c r="T99" s="115"/>
      <c r="U99" s="115">
        <v>4045271</v>
      </c>
      <c r="V99" s="115"/>
      <c r="W99" s="115"/>
      <c r="X99" s="115">
        <v>4045271</v>
      </c>
      <c r="Y99" s="115"/>
      <c r="Z99" s="115"/>
      <c r="AA99" s="115">
        <v>4045271</v>
      </c>
      <c r="AB99" s="115"/>
      <c r="AC99" s="115"/>
      <c r="AD99" s="115">
        <v>4045271</v>
      </c>
      <c r="AE99" s="115"/>
      <c r="AF99" s="115"/>
      <c r="AG99" s="116">
        <v>4045271</v>
      </c>
      <c r="AH99" s="116"/>
      <c r="AI99" s="116"/>
      <c r="AJ99" s="115">
        <v>4045271</v>
      </c>
      <c r="AK99" s="115"/>
      <c r="AL99" s="115"/>
      <c r="AM99" s="115">
        <v>4045271</v>
      </c>
      <c r="AN99" s="115"/>
      <c r="AO99" s="115"/>
      <c r="AP99" s="115">
        <v>36407438</v>
      </c>
      <c r="AQ99" s="115">
        <v>4045271</v>
      </c>
      <c r="AR99" s="115"/>
      <c r="AS99" s="115"/>
      <c r="AT99" s="115">
        <v>4045271</v>
      </c>
      <c r="AU99" s="115"/>
      <c r="AV99" s="115"/>
      <c r="AW99" s="115">
        <v>4045271</v>
      </c>
      <c r="AX99" s="115"/>
      <c r="AY99" s="115"/>
      <c r="AZ99" s="115">
        <v>4045271</v>
      </c>
      <c r="BA99" s="115"/>
      <c r="BB99" s="115"/>
      <c r="BC99" s="115">
        <v>4045271</v>
      </c>
      <c r="BD99" s="115"/>
      <c r="BE99" s="115"/>
      <c r="BF99" s="115">
        <v>4045271</v>
      </c>
      <c r="BG99" s="115"/>
      <c r="BH99" s="115"/>
      <c r="BI99" s="115">
        <v>4045271</v>
      </c>
      <c r="BJ99" s="115"/>
      <c r="BK99" s="115"/>
      <c r="BL99" s="115">
        <v>4045271</v>
      </c>
      <c r="BM99" s="115"/>
      <c r="BN99" s="115"/>
      <c r="BO99" s="115">
        <v>4045271</v>
      </c>
      <c r="BP99" s="115"/>
      <c r="BQ99" s="115"/>
      <c r="BR99" s="117">
        <v>36407438</v>
      </c>
      <c r="BS99" s="57"/>
      <c r="BT99" s="4"/>
      <c r="BU99" s="4"/>
      <c r="BV99" s="4"/>
      <c r="BW99" s="4"/>
      <c r="BX99" s="4"/>
    </row>
    <row r="100" ht="15.75" customHeight="1" spans="1:76">
      <c r="A100" s="54"/>
      <c r="B100" s="2"/>
      <c r="C100" s="2"/>
      <c r="D100" s="2"/>
      <c r="E100" s="2"/>
      <c r="F100" s="2"/>
      <c r="G100" s="2"/>
      <c r="H100" s="2"/>
      <c r="I100" s="2"/>
      <c r="J100" s="7"/>
      <c r="K100" s="112" t="s">
        <v>518</v>
      </c>
      <c r="M100" s="113">
        <v>0.8</v>
      </c>
      <c r="N100" s="114">
        <v>11633422451</v>
      </c>
      <c r="O100" s="115">
        <v>3506547136</v>
      </c>
      <c r="P100" s="115"/>
      <c r="Q100" s="115"/>
      <c r="R100" s="115">
        <v>2220969136</v>
      </c>
      <c r="S100" s="115"/>
      <c r="T100" s="115"/>
      <c r="U100" s="115">
        <v>1224682470</v>
      </c>
      <c r="V100" s="115"/>
      <c r="W100" s="115"/>
      <c r="X100" s="116">
        <v>175732470</v>
      </c>
      <c r="Y100" s="116"/>
      <c r="Z100" s="116"/>
      <c r="AA100" s="115">
        <v>175732470</v>
      </c>
      <c r="AB100" s="115"/>
      <c r="AC100" s="115"/>
      <c r="AD100" s="115">
        <v>175732470</v>
      </c>
      <c r="AE100" s="115"/>
      <c r="AF100" s="115"/>
      <c r="AG100" s="116">
        <v>175732470</v>
      </c>
      <c r="AH100" s="116"/>
      <c r="AI100" s="116"/>
      <c r="AJ100" s="115">
        <v>175732470</v>
      </c>
      <c r="AK100" s="115"/>
      <c r="AL100" s="115"/>
      <c r="AM100" s="115">
        <v>175732470</v>
      </c>
      <c r="AN100" s="115"/>
      <c r="AO100" s="115"/>
      <c r="AP100" s="115">
        <v>8006593559</v>
      </c>
      <c r="AQ100" s="115">
        <v>2220969136</v>
      </c>
      <c r="AR100" s="115"/>
      <c r="AS100" s="115"/>
      <c r="AT100" s="115">
        <v>175732470</v>
      </c>
      <c r="AU100" s="115"/>
      <c r="AV100" s="115"/>
      <c r="AW100" s="115">
        <v>175732470</v>
      </c>
      <c r="AX100" s="115"/>
      <c r="AY100" s="115"/>
      <c r="AZ100" s="116">
        <v>175732470</v>
      </c>
      <c r="BA100" s="115"/>
      <c r="BB100" s="115"/>
      <c r="BC100" s="115">
        <v>175732470</v>
      </c>
      <c r="BD100" s="115"/>
      <c r="BE100" s="115"/>
      <c r="BF100" s="115">
        <v>175732470</v>
      </c>
      <c r="BG100" s="115"/>
      <c r="BH100" s="115"/>
      <c r="BI100" s="115">
        <v>175732470</v>
      </c>
      <c r="BJ100" s="115"/>
      <c r="BK100" s="115"/>
      <c r="BL100" s="115">
        <v>175732470</v>
      </c>
      <c r="BM100" s="115"/>
      <c r="BN100" s="115"/>
      <c r="BO100" s="115">
        <v>175732470</v>
      </c>
      <c r="BP100" s="115"/>
      <c r="BQ100" s="115"/>
      <c r="BR100" s="117">
        <v>3626828892</v>
      </c>
      <c r="BS100" s="58" t="e">
        <f>BS22+BS27+BS57+BS75+BS92</f>
        <v>#REF!</v>
      </c>
      <c r="BT100" s="4"/>
      <c r="BU100" s="4"/>
      <c r="BV100" s="4"/>
      <c r="BW100" s="4"/>
      <c r="BX100" s="4"/>
    </row>
    <row r="101" ht="15.75" customHeight="1" spans="1:76">
      <c r="A101" s="54"/>
      <c r="B101" s="2"/>
      <c r="C101" s="2"/>
      <c r="D101" s="2"/>
      <c r="E101" s="2"/>
      <c r="F101" s="2"/>
      <c r="G101" s="2"/>
      <c r="H101" s="2"/>
      <c r="I101" s="2"/>
      <c r="J101" s="7"/>
      <c r="K101" s="112" t="s">
        <v>319</v>
      </c>
      <c r="M101" s="118">
        <v>0.2012</v>
      </c>
      <c r="N101" s="114">
        <v>2929552549</v>
      </c>
      <c r="O101" s="115">
        <v>-2338438803</v>
      </c>
      <c r="P101" s="115"/>
      <c r="Q101" s="115"/>
      <c r="R101" s="115">
        <v>-1052860803</v>
      </c>
      <c r="S101" s="115"/>
      <c r="T101" s="115"/>
      <c r="U101" s="115">
        <v>-56574136</v>
      </c>
      <c r="V101" s="115"/>
      <c r="W101" s="115"/>
      <c r="X101" s="116">
        <v>992375864</v>
      </c>
      <c r="Y101" s="116"/>
      <c r="Z101" s="116"/>
      <c r="AA101" s="115">
        <v>992375864</v>
      </c>
      <c r="AB101" s="115"/>
      <c r="AC101" s="115"/>
      <c r="AD101" s="115">
        <v>992375864</v>
      </c>
      <c r="AE101" s="115"/>
      <c r="AF101" s="115"/>
      <c r="AG101" s="116">
        <v>992375864</v>
      </c>
      <c r="AH101" s="116"/>
      <c r="AI101" s="116"/>
      <c r="AJ101" s="115">
        <v>992375864</v>
      </c>
      <c r="AK101" s="115"/>
      <c r="AL101" s="115"/>
      <c r="AM101" s="115">
        <v>992375864</v>
      </c>
      <c r="AN101" s="115"/>
      <c r="AO101" s="115"/>
      <c r="AP101" s="115">
        <v>2506381441</v>
      </c>
      <c r="AQ101" s="115">
        <v>-1770969136</v>
      </c>
      <c r="AR101" s="115"/>
      <c r="AS101" s="115"/>
      <c r="AT101" s="115">
        <v>274267530</v>
      </c>
      <c r="AU101" s="115"/>
      <c r="AV101" s="115"/>
      <c r="AW101" s="115">
        <v>274267530</v>
      </c>
      <c r="AX101" s="115"/>
      <c r="AY101" s="115"/>
      <c r="AZ101" s="116">
        <v>274267530</v>
      </c>
      <c r="BA101" s="115"/>
      <c r="BB101" s="115"/>
      <c r="BC101" s="115">
        <v>274267530</v>
      </c>
      <c r="BD101" s="115"/>
      <c r="BE101" s="115"/>
      <c r="BF101" s="115">
        <v>274267530</v>
      </c>
      <c r="BG101" s="115"/>
      <c r="BH101" s="115"/>
      <c r="BI101" s="115">
        <v>274267530</v>
      </c>
      <c r="BJ101" s="115"/>
      <c r="BK101" s="115"/>
      <c r="BL101" s="115">
        <v>274267530</v>
      </c>
      <c r="BM101" s="115"/>
      <c r="BN101" s="115"/>
      <c r="BO101" s="115">
        <v>274267530</v>
      </c>
      <c r="BP101" s="115"/>
      <c r="BQ101" s="115"/>
      <c r="BR101" s="117">
        <v>423171108</v>
      </c>
      <c r="BS101" s="57"/>
      <c r="BT101" s="4"/>
      <c r="BU101" s="4"/>
      <c r="BV101" s="4"/>
      <c r="BW101" s="4"/>
      <c r="BX101" s="4"/>
    </row>
    <row r="102" ht="15.75" customHeight="1" spans="1:76">
      <c r="A102" s="54"/>
      <c r="B102" s="2"/>
      <c r="C102" s="2"/>
      <c r="D102" s="2"/>
      <c r="E102" s="2"/>
      <c r="F102" s="2"/>
      <c r="G102" s="2"/>
      <c r="H102" s="2"/>
      <c r="I102" s="2"/>
      <c r="J102" s="7"/>
      <c r="K102" s="119" t="s">
        <v>519</v>
      </c>
      <c r="N102" s="120">
        <v>0.2012</v>
      </c>
      <c r="O102" s="121">
        <v>-2.0019</v>
      </c>
      <c r="P102" s="121"/>
      <c r="Q102" s="121"/>
      <c r="R102" s="121">
        <v>-0.9013</v>
      </c>
      <c r="S102" s="121"/>
      <c r="T102" s="121"/>
      <c r="U102" s="122">
        <v>-0.0484</v>
      </c>
      <c r="V102" s="122"/>
      <c r="W102" s="122"/>
      <c r="X102" s="121">
        <v>0.8496</v>
      </c>
      <c r="Y102" s="121"/>
      <c r="Z102" s="121"/>
      <c r="AA102" s="122">
        <v>0.8496</v>
      </c>
      <c r="AB102" s="122"/>
      <c r="AC102" s="122"/>
      <c r="AD102" s="122">
        <v>0.8496</v>
      </c>
      <c r="AE102" s="122"/>
      <c r="AF102" s="122"/>
      <c r="AG102" s="122">
        <v>0.8496</v>
      </c>
      <c r="AH102" s="122"/>
      <c r="AI102" s="122"/>
      <c r="AJ102" s="122">
        <v>0.8496</v>
      </c>
      <c r="AK102" s="122"/>
      <c r="AL102" s="122"/>
      <c r="AM102" s="122">
        <v>0.8496</v>
      </c>
      <c r="AN102" s="122"/>
      <c r="AO102" s="122"/>
      <c r="AP102" s="122">
        <v>0.2384</v>
      </c>
      <c r="AQ102" s="121">
        <v>-3.9355</v>
      </c>
      <c r="AR102" s="122"/>
      <c r="AS102" s="122"/>
      <c r="AT102" s="122">
        <v>0.6095</v>
      </c>
      <c r="AU102" s="122"/>
      <c r="AV102" s="122"/>
      <c r="AW102" s="122">
        <v>0.6095</v>
      </c>
      <c r="AX102" s="122"/>
      <c r="AY102" s="122"/>
      <c r="AZ102" s="122">
        <v>0.6095</v>
      </c>
      <c r="BA102" s="122"/>
      <c r="BB102" s="122"/>
      <c r="BC102" s="122">
        <v>0.6095</v>
      </c>
      <c r="BD102" s="122"/>
      <c r="BE102" s="122"/>
      <c r="BF102" s="122">
        <v>0.6095</v>
      </c>
      <c r="BG102" s="122"/>
      <c r="BH102" s="122"/>
      <c r="BI102" s="122">
        <v>0.6095</v>
      </c>
      <c r="BJ102" s="122"/>
      <c r="BK102" s="122"/>
      <c r="BL102" s="122">
        <v>0.6095</v>
      </c>
      <c r="BM102" s="122"/>
      <c r="BN102" s="122"/>
      <c r="BO102" s="122">
        <v>0.6095</v>
      </c>
      <c r="BP102" s="122"/>
      <c r="BQ102" s="122"/>
      <c r="BR102" s="123">
        <v>0.1045</v>
      </c>
      <c r="BS102" s="124"/>
      <c r="BT102" s="4"/>
      <c r="BU102" s="4"/>
      <c r="BV102" s="4"/>
      <c r="BW102" s="4"/>
      <c r="BX102" s="4"/>
    </row>
    <row r="103" ht="15.75" customHeight="1" spans="1:76">
      <c r="A103" s="54"/>
      <c r="B103" s="2"/>
      <c r="C103" s="2"/>
      <c r="D103" s="2"/>
      <c r="E103" s="2"/>
      <c r="F103" s="2"/>
      <c r="G103" s="2"/>
      <c r="H103" s="2"/>
      <c r="I103" s="2"/>
      <c r="J103" s="7"/>
      <c r="K103" s="125"/>
      <c r="N103" s="126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  <c r="BM103" s="127"/>
      <c r="BN103" s="127"/>
      <c r="BO103" s="127"/>
      <c r="BP103" s="127"/>
      <c r="BQ103" s="127"/>
      <c r="BR103" s="125"/>
      <c r="BS103" s="128"/>
      <c r="BT103" s="4"/>
      <c r="BU103" s="4"/>
      <c r="BV103" s="4"/>
      <c r="BW103" s="4"/>
      <c r="BX103" s="4"/>
    </row>
    <row r="104" ht="15.75" customHeight="1" spans="1:76">
      <c r="A104" s="54"/>
      <c r="B104" s="2"/>
      <c r="C104" s="2"/>
      <c r="D104" s="2"/>
      <c r="E104" s="2"/>
      <c r="F104" s="2"/>
      <c r="G104" s="2"/>
      <c r="H104" s="2"/>
      <c r="I104" s="2"/>
      <c r="J104" s="7"/>
      <c r="K104" s="129"/>
      <c r="N104" s="126"/>
      <c r="O104" s="130"/>
      <c r="P104" s="127"/>
      <c r="Q104" s="127"/>
      <c r="R104" s="130"/>
      <c r="S104" s="127"/>
      <c r="T104" s="127"/>
      <c r="U104" s="130"/>
      <c r="V104" s="127"/>
      <c r="W104" s="127"/>
      <c r="X104" s="130"/>
      <c r="Y104" s="127"/>
      <c r="Z104" s="127"/>
      <c r="AA104" s="130"/>
      <c r="AB104" s="127"/>
      <c r="AC104" s="127"/>
      <c r="AD104" s="130"/>
      <c r="AE104" s="127"/>
      <c r="AF104" s="127"/>
      <c r="AG104" s="130"/>
      <c r="AH104" s="127"/>
      <c r="AI104" s="127"/>
      <c r="AJ104" s="130"/>
      <c r="AK104" s="127"/>
      <c r="AL104" s="127"/>
      <c r="AM104" s="130"/>
      <c r="AN104" s="127"/>
      <c r="AO104" s="127"/>
      <c r="AP104" s="130"/>
      <c r="AQ104" s="130"/>
      <c r="AR104" s="127"/>
      <c r="AS104" s="127"/>
      <c r="AT104" s="130"/>
      <c r="AU104" s="127"/>
      <c r="AV104" s="127"/>
      <c r="AW104" s="130"/>
      <c r="AX104" s="127"/>
      <c r="AY104" s="127"/>
      <c r="AZ104" s="130"/>
      <c r="BA104" s="127"/>
      <c r="BB104" s="127"/>
      <c r="BC104" s="130"/>
      <c r="BD104" s="127"/>
      <c r="BE104" s="127"/>
      <c r="BF104" s="130"/>
      <c r="BG104" s="127"/>
      <c r="BH104" s="127"/>
      <c r="BI104" s="130"/>
      <c r="BJ104" s="127"/>
      <c r="BK104" s="127"/>
      <c r="BL104" s="130"/>
      <c r="BM104" s="127"/>
      <c r="BN104" s="127"/>
      <c r="BO104" s="130"/>
      <c r="BP104" s="127"/>
      <c r="BQ104" s="127"/>
      <c r="BR104" s="129"/>
      <c r="BS104" s="128"/>
      <c r="BT104" s="4"/>
      <c r="BU104" s="4"/>
      <c r="BV104" s="4"/>
      <c r="BW104" s="4"/>
      <c r="BX104" s="4"/>
    </row>
    <row r="105" ht="15.75" customHeight="1" spans="1:76">
      <c r="A105" s="54"/>
      <c r="B105" s="2"/>
      <c r="C105" s="2"/>
      <c r="D105" s="2"/>
      <c r="E105" s="2"/>
      <c r="F105" s="2"/>
      <c r="G105" s="2"/>
      <c r="H105" s="2"/>
      <c r="I105" s="2"/>
      <c r="J105" s="7"/>
      <c r="K105" s="131"/>
      <c r="L105" s="132"/>
      <c r="M105" s="132"/>
      <c r="N105" s="133"/>
      <c r="O105" s="134"/>
      <c r="P105" s="135"/>
      <c r="Q105" s="135"/>
      <c r="R105" s="134"/>
      <c r="S105" s="135"/>
      <c r="T105" s="135"/>
      <c r="U105" s="134"/>
      <c r="V105" s="135"/>
      <c r="W105" s="135"/>
      <c r="X105" s="134"/>
      <c r="Y105" s="135"/>
      <c r="Z105" s="135"/>
      <c r="AA105" s="134"/>
      <c r="AB105" s="135"/>
      <c r="AC105" s="135"/>
      <c r="AD105" s="134"/>
      <c r="AE105" s="135"/>
      <c r="AF105" s="135"/>
      <c r="AG105" s="134"/>
      <c r="AH105" s="135"/>
      <c r="AI105" s="135"/>
      <c r="AJ105" s="134"/>
      <c r="AK105" s="135"/>
      <c r="AL105" s="135"/>
      <c r="AM105" s="134"/>
      <c r="AN105" s="135"/>
      <c r="AO105" s="135"/>
      <c r="AP105" s="134"/>
      <c r="AQ105" s="134"/>
      <c r="AR105" s="135"/>
      <c r="AS105" s="135"/>
      <c r="AT105" s="134"/>
      <c r="AU105" s="135"/>
      <c r="AV105" s="135"/>
      <c r="AW105" s="134"/>
      <c r="AX105" s="135"/>
      <c r="AY105" s="135"/>
      <c r="AZ105" s="134"/>
      <c r="BA105" s="135"/>
      <c r="BB105" s="135"/>
      <c r="BC105" s="134"/>
      <c r="BD105" s="135"/>
      <c r="BE105" s="135"/>
      <c r="BF105" s="134"/>
      <c r="BG105" s="135"/>
      <c r="BH105" s="135"/>
      <c r="BI105" s="134"/>
      <c r="BJ105" s="135"/>
      <c r="BK105" s="135"/>
      <c r="BL105" s="134"/>
      <c r="BM105" s="135"/>
      <c r="BN105" s="135"/>
      <c r="BO105" s="134"/>
      <c r="BP105" s="135"/>
      <c r="BQ105" s="135"/>
      <c r="BR105" s="131"/>
      <c r="BS105" s="128"/>
      <c r="BT105" s="4"/>
      <c r="BU105" s="4"/>
      <c r="BV105" s="4"/>
      <c r="BW105" s="4"/>
      <c r="BX105" s="4"/>
    </row>
    <row r="106" ht="15.75" customHeight="1" spans="1:76">
      <c r="A106" s="136" t="s">
        <v>520</v>
      </c>
      <c r="B106" s="107"/>
      <c r="C106" s="107"/>
      <c r="D106" s="107"/>
      <c r="E106" s="107"/>
      <c r="F106" s="107"/>
      <c r="G106" s="108"/>
      <c r="H106" s="108"/>
      <c r="I106" s="108"/>
      <c r="J106" s="108"/>
      <c r="K106" s="137" t="s">
        <v>521</v>
      </c>
      <c r="L106" s="107"/>
      <c r="M106" s="108"/>
      <c r="N106" s="138">
        <v>9206492875</v>
      </c>
      <c r="O106" s="139">
        <v>3371717715.28</v>
      </c>
      <c r="P106" s="139"/>
      <c r="Q106" s="139"/>
      <c r="R106" s="139">
        <v>2086139715.28</v>
      </c>
      <c r="S106" s="139"/>
      <c r="T106" s="139"/>
      <c r="U106" s="139">
        <v>1089853048.61</v>
      </c>
      <c r="V106" s="139"/>
      <c r="W106" s="139"/>
      <c r="X106" s="139">
        <v>40903048.61</v>
      </c>
      <c r="Y106" s="139"/>
      <c r="Z106" s="139"/>
      <c r="AA106" s="139">
        <v>40903048.61</v>
      </c>
      <c r="AB106" s="139"/>
      <c r="AC106" s="139"/>
      <c r="AD106" s="139">
        <v>40903048.61</v>
      </c>
      <c r="AE106" s="139"/>
      <c r="AF106" s="139"/>
      <c r="AG106" s="139">
        <v>40903048.61</v>
      </c>
      <c r="AH106" s="139"/>
      <c r="AI106" s="139"/>
      <c r="AJ106" s="139">
        <v>40903048.61</v>
      </c>
      <c r="AK106" s="139"/>
      <c r="AL106" s="139"/>
      <c r="AM106" s="139">
        <v>40903048.61</v>
      </c>
      <c r="AN106" s="139"/>
      <c r="AO106" s="139"/>
      <c r="AP106" s="139">
        <v>6793128770.83</v>
      </c>
      <c r="AQ106" s="139">
        <v>2086139715.28</v>
      </c>
      <c r="AR106" s="139"/>
      <c r="AS106" s="139"/>
      <c r="AT106" s="139">
        <v>40903048.61</v>
      </c>
      <c r="AU106" s="139"/>
      <c r="AV106" s="139"/>
      <c r="AW106" s="139">
        <v>40903048.61</v>
      </c>
      <c r="AX106" s="139"/>
      <c r="AY106" s="139"/>
      <c r="AZ106" s="139">
        <v>40903048.61</v>
      </c>
      <c r="BA106" s="139"/>
      <c r="BB106" s="139"/>
      <c r="BC106" s="139">
        <v>40903048.61</v>
      </c>
      <c r="BD106" s="139"/>
      <c r="BE106" s="139"/>
      <c r="BF106" s="139">
        <v>40903048.61</v>
      </c>
      <c r="BG106" s="139"/>
      <c r="BH106" s="139"/>
      <c r="BI106" s="139">
        <v>40903048.61</v>
      </c>
      <c r="BJ106" s="139"/>
      <c r="BK106" s="139"/>
      <c r="BL106" s="139">
        <v>40903048.61</v>
      </c>
      <c r="BM106" s="139"/>
      <c r="BN106" s="139"/>
      <c r="BO106" s="139">
        <v>40903048.61</v>
      </c>
      <c r="BP106" s="139"/>
      <c r="BQ106" s="139"/>
      <c r="BR106" s="140">
        <v>2413364104.17</v>
      </c>
      <c r="BS106" s="141"/>
      <c r="BT106" s="4"/>
      <c r="BU106" s="4"/>
      <c r="BV106" s="4"/>
      <c r="BW106" s="4"/>
      <c r="BX106" s="4"/>
    </row>
    <row r="107" ht="15.75" customHeight="1" spans="1:76">
      <c r="A107" s="142" t="s">
        <v>522</v>
      </c>
      <c r="B107" s="105"/>
      <c r="C107" s="105"/>
      <c r="D107" s="105"/>
      <c r="E107" s="105"/>
      <c r="F107" s="105"/>
      <c r="G107" s="143"/>
      <c r="H107" s="143"/>
      <c r="I107" s="143"/>
      <c r="J107" s="143"/>
      <c r="K107" s="144" t="s">
        <v>523</v>
      </c>
      <c r="M107" s="143"/>
      <c r="N107" s="145">
        <v>3009448576.4</v>
      </c>
      <c r="O107" s="146">
        <v>167191587.58</v>
      </c>
      <c r="P107" s="146"/>
      <c r="Q107" s="146"/>
      <c r="R107" s="146">
        <v>167191587.58</v>
      </c>
      <c r="S107" s="146"/>
      <c r="T107" s="146"/>
      <c r="U107" s="146">
        <v>167191587.58</v>
      </c>
      <c r="V107" s="146"/>
      <c r="W107" s="146"/>
      <c r="X107" s="146">
        <v>167191587.58</v>
      </c>
      <c r="Y107" s="146"/>
      <c r="Z107" s="146"/>
      <c r="AA107" s="146">
        <v>167191587.58</v>
      </c>
      <c r="AB107" s="146"/>
      <c r="AC107" s="146"/>
      <c r="AD107" s="146">
        <v>167191587.58</v>
      </c>
      <c r="AE107" s="146"/>
      <c r="AF107" s="146"/>
      <c r="AG107" s="146">
        <v>167191587.58</v>
      </c>
      <c r="AH107" s="146"/>
      <c r="AI107" s="146"/>
      <c r="AJ107" s="146">
        <v>167191587.58</v>
      </c>
      <c r="AK107" s="146"/>
      <c r="AL107" s="146"/>
      <c r="AM107" s="146">
        <v>167191587.58</v>
      </c>
      <c r="AN107" s="146"/>
      <c r="AO107" s="146"/>
      <c r="AP107" s="146">
        <v>1504724288.2</v>
      </c>
      <c r="AQ107" s="146">
        <v>167191587.58</v>
      </c>
      <c r="AR107" s="146"/>
      <c r="AS107" s="146"/>
      <c r="AT107" s="146">
        <v>167191587.58</v>
      </c>
      <c r="AU107" s="146"/>
      <c r="AV107" s="146"/>
      <c r="AW107" s="146">
        <v>167191587.58</v>
      </c>
      <c r="AX107" s="146"/>
      <c r="AY107" s="146"/>
      <c r="AZ107" s="146">
        <v>167191587.58</v>
      </c>
      <c r="BA107" s="146"/>
      <c r="BB107" s="146"/>
      <c r="BC107" s="146">
        <v>167191587.58</v>
      </c>
      <c r="BD107" s="146"/>
      <c r="BE107" s="146"/>
      <c r="BF107" s="146">
        <v>167191587.58</v>
      </c>
      <c r="BG107" s="146"/>
      <c r="BH107" s="146"/>
      <c r="BI107" s="146">
        <v>167191587.58</v>
      </c>
      <c r="BJ107" s="146"/>
      <c r="BK107" s="146"/>
      <c r="BL107" s="146">
        <v>167191587.58</v>
      </c>
      <c r="BM107" s="146"/>
      <c r="BN107" s="146"/>
      <c r="BO107" s="146">
        <v>167191587.58</v>
      </c>
      <c r="BP107" s="146"/>
      <c r="BQ107" s="146"/>
      <c r="BR107" s="147">
        <v>1504724288.2</v>
      </c>
      <c r="BS107" s="141"/>
      <c r="BT107" s="4"/>
      <c r="BU107" s="4"/>
      <c r="BV107" s="4"/>
      <c r="BW107" s="4"/>
      <c r="BX107" s="4"/>
    </row>
    <row r="108" ht="15.75" customHeight="1" spans="1:76">
      <c r="A108" s="148"/>
      <c r="B108" s="105"/>
      <c r="C108" s="105"/>
      <c r="D108" s="105"/>
      <c r="E108" s="105"/>
      <c r="F108" s="105"/>
      <c r="G108" s="143"/>
      <c r="H108" s="143"/>
      <c r="I108" s="143"/>
      <c r="J108" s="143"/>
      <c r="K108" s="144" t="s">
        <v>524</v>
      </c>
      <c r="M108" s="143"/>
      <c r="N108" s="145">
        <v>8181960353.67</v>
      </c>
      <c r="O108" s="146">
        <v>-88626363.78</v>
      </c>
      <c r="P108" s="146"/>
      <c r="Q108" s="146"/>
      <c r="R108" s="146">
        <v>-212735523.59</v>
      </c>
      <c r="S108" s="146"/>
      <c r="T108" s="146"/>
      <c r="U108" s="146">
        <v>2495651091.25</v>
      </c>
      <c r="V108" s="146"/>
      <c r="W108" s="146"/>
      <c r="X108" s="146">
        <v>173258491.03</v>
      </c>
      <c r="Y108" s="146"/>
      <c r="Z108" s="146"/>
      <c r="AA108" s="146">
        <v>173258491.03</v>
      </c>
      <c r="AB108" s="146"/>
      <c r="AC108" s="146"/>
      <c r="AD108" s="146">
        <v>173258491.03</v>
      </c>
      <c r="AE108" s="146"/>
      <c r="AF108" s="146"/>
      <c r="AG108" s="146">
        <v>173258491.03</v>
      </c>
      <c r="AH108" s="146"/>
      <c r="AI108" s="146"/>
      <c r="AJ108" s="146">
        <v>173258491.03</v>
      </c>
      <c r="AK108" s="146"/>
      <c r="AL108" s="146"/>
      <c r="AM108" s="146">
        <v>173258491.03</v>
      </c>
      <c r="AN108" s="146"/>
      <c r="AO108" s="146"/>
      <c r="AP108" s="146">
        <v>4252629772.62</v>
      </c>
      <c r="AQ108" s="146">
        <v>-45983979.06</v>
      </c>
      <c r="AR108" s="146"/>
      <c r="AS108" s="146"/>
      <c r="AT108" s="146">
        <v>183908030</v>
      </c>
      <c r="AU108" s="146"/>
      <c r="AV108" s="146"/>
      <c r="AW108" s="146">
        <v>183908030</v>
      </c>
      <c r="AX108" s="146"/>
      <c r="AY108" s="146"/>
      <c r="AZ108" s="146">
        <v>183908030</v>
      </c>
      <c r="BA108" s="146"/>
      <c r="BB108" s="146"/>
      <c r="BC108" s="146">
        <v>183908030</v>
      </c>
      <c r="BD108" s="146"/>
      <c r="BE108" s="146"/>
      <c r="BF108" s="146">
        <v>183908030</v>
      </c>
      <c r="BG108" s="146"/>
      <c r="BH108" s="146"/>
      <c r="BI108" s="146">
        <v>183908030</v>
      </c>
      <c r="BJ108" s="146"/>
      <c r="BK108" s="146"/>
      <c r="BL108" s="146">
        <v>183908030</v>
      </c>
      <c r="BM108" s="146"/>
      <c r="BN108" s="146"/>
      <c r="BO108" s="146">
        <v>183908030</v>
      </c>
      <c r="BP108" s="146"/>
      <c r="BQ108" s="146"/>
      <c r="BR108" s="147">
        <v>3723573082.27</v>
      </c>
      <c r="BS108" s="141"/>
      <c r="BT108" s="4"/>
      <c r="BU108" s="4"/>
      <c r="BV108" s="4"/>
      <c r="BW108" s="4"/>
      <c r="BX108" s="4"/>
    </row>
    <row r="109" ht="15.75" customHeight="1" spans="1:76">
      <c r="A109" s="149"/>
      <c r="B109" s="150"/>
      <c r="C109" s="150"/>
      <c r="D109" s="150"/>
      <c r="E109" s="150"/>
      <c r="F109" s="150"/>
      <c r="G109" s="150"/>
      <c r="H109" s="150"/>
      <c r="I109" s="150"/>
      <c r="J109" s="150"/>
      <c r="K109" s="151" t="s">
        <v>525</v>
      </c>
      <c r="L109" s="132"/>
      <c r="M109" s="150"/>
      <c r="N109" s="152">
        <v>1.83</v>
      </c>
      <c r="O109" s="153">
        <v>0.94</v>
      </c>
      <c r="P109" s="153"/>
      <c r="Q109" s="153"/>
      <c r="R109" s="153">
        <v>0.87</v>
      </c>
      <c r="S109" s="153"/>
      <c r="T109" s="153"/>
      <c r="U109" s="153">
        <v>-1.38</v>
      </c>
      <c r="V109" s="153"/>
      <c r="W109" s="153"/>
      <c r="X109" s="153">
        <v>1.14</v>
      </c>
      <c r="Y109" s="153"/>
      <c r="Z109" s="153"/>
      <c r="AA109" s="153">
        <v>1.14</v>
      </c>
      <c r="AB109" s="153"/>
      <c r="AC109" s="153"/>
      <c r="AD109" s="153">
        <v>1.14</v>
      </c>
      <c r="AE109" s="153"/>
      <c r="AF109" s="153"/>
      <c r="AG109" s="153">
        <v>1.14</v>
      </c>
      <c r="AH109" s="153"/>
      <c r="AI109" s="153"/>
      <c r="AJ109" s="153">
        <v>1.14</v>
      </c>
      <c r="AK109" s="153"/>
      <c r="AL109" s="153"/>
      <c r="AM109" s="153">
        <v>1.14</v>
      </c>
      <c r="AN109" s="153"/>
      <c r="AO109" s="153"/>
      <c r="AP109" s="153">
        <v>1.48</v>
      </c>
      <c r="AQ109" s="153">
        <v>0.92</v>
      </c>
      <c r="AR109" s="153"/>
      <c r="AS109" s="153"/>
      <c r="AT109" s="153">
        <v>1.49</v>
      </c>
      <c r="AU109" s="153"/>
      <c r="AV109" s="153"/>
      <c r="AW109" s="153">
        <v>1.49</v>
      </c>
      <c r="AX109" s="153"/>
      <c r="AY109" s="153"/>
      <c r="AZ109" s="153">
        <v>1.49</v>
      </c>
      <c r="BA109" s="153"/>
      <c r="BB109" s="153"/>
      <c r="BC109" s="153">
        <v>1.49</v>
      </c>
      <c r="BD109" s="153"/>
      <c r="BE109" s="153"/>
      <c r="BF109" s="153">
        <v>1.49</v>
      </c>
      <c r="BG109" s="153"/>
      <c r="BH109" s="153"/>
      <c r="BI109" s="153">
        <v>1.49</v>
      </c>
      <c r="BJ109" s="153"/>
      <c r="BK109" s="153"/>
      <c r="BL109" s="153">
        <v>1.49</v>
      </c>
      <c r="BM109" s="153"/>
      <c r="BN109" s="153"/>
      <c r="BO109" s="153">
        <v>1.49</v>
      </c>
      <c r="BP109" s="153"/>
      <c r="BQ109" s="153"/>
      <c r="BR109" s="154">
        <v>3.87</v>
      </c>
      <c r="BS109" s="155"/>
      <c r="BT109" s="4"/>
      <c r="BU109" s="4"/>
      <c r="BV109" s="4"/>
      <c r="BW109" s="4"/>
      <c r="BX109" s="4"/>
    </row>
    <row r="110" ht="15.75" customHeight="1" spans="1:7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</row>
    <row r="111" ht="15.75" customHeight="1" spans="1:7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</row>
    <row r="112" ht="15.75" customHeight="1" spans="1:7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</row>
    <row r="113" ht="15.75" customHeight="1" spans="1:7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</row>
    <row r="114" ht="15.75" customHeight="1" spans="1:7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</row>
    <row r="115" ht="15.75" customHeight="1" spans="1:7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</row>
    <row r="116" ht="15.75" customHeight="1" spans="1:7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</row>
    <row r="117" ht="15.75" customHeight="1" spans="1:7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</row>
    <row r="118" ht="15.75" customHeight="1" spans="1:7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</row>
    <row r="119" ht="15.75" customHeight="1" spans="1:7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</row>
    <row r="120" ht="15.75" customHeight="1" spans="1:7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</row>
    <row r="121" ht="15.75" customHeight="1" spans="1:7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</row>
    <row r="122" ht="15.75" customHeight="1" spans="1:7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</row>
    <row r="123" ht="15.75" customHeight="1" spans="1:7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</row>
    <row r="124" ht="15.75" customHeight="1" spans="1:7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</row>
    <row r="125" ht="15.75" customHeight="1" spans="1:7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</row>
    <row r="126" ht="15.75" customHeight="1" spans="1:7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</row>
    <row r="127" ht="15.75" customHeight="1" spans="1:7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</row>
    <row r="128" ht="15.75" customHeight="1" spans="1:7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</row>
    <row r="129" ht="15.75" customHeight="1" spans="1:7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</row>
    <row r="130" ht="15.75" customHeight="1" spans="1:7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</row>
    <row r="131" ht="15.75" customHeight="1" spans="1:7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</row>
    <row r="132" ht="15.75" customHeight="1" spans="1:7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</row>
    <row r="133" ht="15.75" customHeight="1" spans="1:7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</row>
    <row r="134" ht="15.75" customHeight="1" spans="1:7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</row>
    <row r="135" ht="15.75" customHeight="1" spans="1:7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</row>
    <row r="136" ht="15.75" customHeight="1" spans="1:7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</row>
    <row r="137" ht="15.75" customHeight="1" spans="1:7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</row>
    <row r="138" ht="15.75" customHeight="1" spans="1:7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</row>
    <row r="139" ht="15.75" customHeight="1" spans="1:7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</row>
    <row r="140" ht="15.75" customHeight="1" spans="1:7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ht="15.75" customHeight="1" spans="1:7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</row>
    <row r="142" ht="15.75" customHeight="1" spans="1:7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</row>
    <row r="143" ht="15.75" customHeight="1" spans="1:7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ht="15.75" customHeight="1" spans="1:7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</row>
    <row r="145" ht="15.75" customHeight="1" spans="1:7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</row>
    <row r="146" ht="15.75" customHeight="1" spans="1:7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ht="15.75" customHeight="1" spans="1:7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</row>
    <row r="148" ht="15.75" customHeight="1" spans="1:7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</row>
    <row r="149" ht="15.75" customHeight="1" spans="1:7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ht="15.75" customHeight="1" spans="1:7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</row>
    <row r="151" ht="15.75" customHeight="1" spans="1:7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</row>
    <row r="152" ht="15.75" customHeight="1" spans="1:7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ht="15.75" customHeight="1" spans="1:7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</row>
    <row r="154" ht="15.75" customHeight="1" spans="1:7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</row>
    <row r="155" ht="15.75" customHeight="1" spans="1:7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ht="15.75" customHeight="1" spans="1:7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</row>
    <row r="157" ht="15.75" customHeight="1" spans="1:7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</row>
    <row r="158" ht="15.75" customHeight="1" spans="1:7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ht="15.75" customHeight="1" spans="1:7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</row>
    <row r="160" ht="15.75" customHeight="1" spans="1:7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</row>
    <row r="161" ht="15.75" customHeight="1" spans="1:7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ht="15.75" customHeight="1" spans="1:7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</row>
    <row r="163" ht="15.75" customHeight="1" spans="1:7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</row>
    <row r="164" ht="15.75" customHeight="1" spans="1:7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ht="15.75" customHeight="1" spans="1:7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</row>
    <row r="166" ht="15.75" customHeight="1" spans="1:7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</row>
    <row r="167" ht="15.75" customHeight="1" spans="1:7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</row>
    <row r="168" ht="15.75" customHeight="1" spans="1:7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</row>
    <row r="169" ht="15.75" customHeight="1" spans="1:7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</row>
    <row r="170" ht="15.75" customHeight="1" spans="1:7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</row>
    <row r="171" ht="15.75" customHeight="1" spans="1:7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</row>
    <row r="172" ht="15.75" customHeight="1" spans="1:7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</row>
    <row r="173" ht="15.75" customHeight="1" spans="1:7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</row>
    <row r="174" ht="15.75" customHeight="1" spans="1:7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</row>
    <row r="175" ht="15.75" customHeight="1" spans="1:7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</row>
    <row r="176" ht="15.75" customHeight="1" spans="1: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</row>
    <row r="177" ht="15.75" customHeight="1" spans="1:7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</row>
    <row r="178" ht="15.75" customHeight="1" spans="1:7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</row>
    <row r="179" ht="15.75" customHeight="1" spans="1:7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</row>
    <row r="180" ht="15.75" customHeight="1" spans="1:7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</row>
    <row r="181" ht="15.75" customHeight="1" spans="1:7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</row>
    <row r="182" ht="15.75" customHeight="1" spans="1:7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</row>
    <row r="183" ht="15.75" customHeight="1" spans="1:7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</row>
    <row r="184" ht="15.75" customHeight="1" spans="1:7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</row>
    <row r="185" ht="15.75" customHeight="1" spans="1:7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</row>
    <row r="186" ht="15.75" customHeight="1" spans="1:7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</row>
    <row r="187" ht="15.75" customHeight="1" spans="1:7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</row>
    <row r="188" ht="15.75" customHeight="1" spans="1:7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</row>
    <row r="189" ht="15.75" customHeight="1" spans="1:7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</row>
    <row r="190" ht="15.75" customHeight="1" spans="1:7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</row>
    <row r="191" ht="15.75" customHeight="1" spans="1:7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</row>
    <row r="192" ht="15.75" customHeight="1" spans="1:7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</row>
    <row r="193" ht="15.75" customHeight="1" spans="1:7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</row>
    <row r="194" ht="15.75" customHeight="1" spans="1:7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</row>
    <row r="195" ht="15.75" customHeight="1" spans="1:7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</row>
    <row r="196" ht="15.75" customHeight="1" spans="1:7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</row>
    <row r="197" ht="15.75" customHeight="1" spans="1:7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</row>
    <row r="198" ht="15.75" customHeight="1" spans="1:7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</row>
    <row r="199" ht="15.75" customHeight="1" spans="1:7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</row>
    <row r="200" ht="15.75" customHeight="1" spans="1:7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</row>
    <row r="201" ht="15.75" customHeight="1" spans="1:7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</row>
    <row r="202" ht="15.75" customHeight="1" spans="1:7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</row>
    <row r="203" ht="15.75" customHeight="1" spans="1:7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</row>
    <row r="204" ht="15.75" customHeight="1" spans="1:7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</row>
    <row r="205" ht="15.75" customHeight="1" spans="1:7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</row>
    <row r="206" ht="15.75" customHeight="1" spans="1:7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</row>
    <row r="207" ht="15.75" customHeight="1" spans="1:7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</row>
    <row r="208" ht="15.75" customHeight="1" spans="1:7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</row>
    <row r="209" ht="15.75" customHeight="1" spans="1:7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</row>
    <row r="210" ht="15.75" customHeight="1" spans="1:7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</row>
    <row r="211" ht="15.75" customHeight="1" spans="1:7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</row>
    <row r="212" ht="15.75" customHeight="1" spans="1:7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</row>
    <row r="213" ht="15.75" customHeight="1" spans="1:7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</row>
    <row r="214" ht="15.75" customHeight="1" spans="1:7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</row>
    <row r="215" ht="15.75" customHeight="1" spans="1:7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</row>
    <row r="216" ht="15.75" customHeight="1" spans="1:7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</row>
    <row r="217" ht="15.75" customHeight="1" spans="1:7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</row>
    <row r="218" ht="15.75" customHeight="1" spans="1:7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</row>
    <row r="219" ht="15.75" customHeight="1" spans="1:7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</row>
    <row r="220" ht="15.75" customHeight="1" spans="1:7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</row>
    <row r="221" ht="15.75" customHeight="1" spans="1:7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</row>
    <row r="222" ht="15.75" customHeight="1" spans="1:7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</row>
    <row r="223" ht="15.75" customHeight="1" spans="1:7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</row>
    <row r="224" ht="15.75" customHeight="1" spans="1:7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</row>
    <row r="225" ht="15.75" customHeight="1" spans="1:7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</row>
    <row r="226" ht="15.75" customHeight="1" spans="1:7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</row>
    <row r="227" ht="15.75" customHeight="1" spans="1:7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</row>
    <row r="228" ht="15.75" customHeight="1" spans="1:7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</row>
    <row r="229" ht="15.75" customHeight="1" spans="1:7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</row>
    <row r="230" ht="15.75" customHeight="1" spans="1:7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</row>
    <row r="231" ht="15.75" customHeight="1" spans="1:7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</row>
    <row r="232" ht="15.75" customHeight="1" spans="1:7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</row>
    <row r="233" ht="15.75" customHeight="1" spans="1:7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</row>
    <row r="234" ht="15.75" customHeight="1" spans="1:7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</row>
    <row r="235" ht="15.75" customHeight="1" spans="1:7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</row>
    <row r="236" ht="15.75" customHeight="1" spans="1:7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</row>
    <row r="237" ht="15.75" customHeight="1" spans="1:7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</row>
    <row r="238" ht="15.75" customHeight="1" spans="1:7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</row>
    <row r="239" ht="15.75" customHeight="1" spans="1:7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</row>
    <row r="240" ht="15.75" customHeight="1" spans="1:7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</row>
    <row r="241" ht="15.75" customHeight="1" spans="1:7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</row>
    <row r="242" ht="15.75" customHeight="1" spans="1:7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</row>
    <row r="243" ht="15.75" customHeight="1" spans="1:7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</row>
    <row r="244" ht="15.75" customHeight="1" spans="1:7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</row>
    <row r="245" ht="15.75" customHeight="1" spans="1:7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</row>
    <row r="246" ht="15.75" customHeight="1" spans="1:7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</row>
    <row r="247" ht="15.75" customHeight="1" spans="1:7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</row>
    <row r="248" ht="15.75" customHeight="1" spans="1:7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</row>
    <row r="249" ht="15.75" customHeight="1" spans="1:7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</row>
    <row r="250" ht="15.75" customHeight="1" spans="1:7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</row>
    <row r="251" ht="15.75" customHeight="1" spans="1:7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</row>
    <row r="252" ht="15.75" customHeight="1" spans="1:7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</row>
    <row r="253" ht="15.75" customHeight="1" spans="1:7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</row>
    <row r="254" ht="15.75" customHeight="1" spans="1:7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</row>
    <row r="255" ht="15.75" customHeight="1" spans="1:7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</row>
    <row r="256" ht="15.75" customHeight="1" spans="1:7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</row>
    <row r="257" ht="15.75" customHeight="1" spans="1:7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</row>
    <row r="258" ht="15.75" customHeight="1" spans="1:7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</row>
    <row r="259" ht="15.75" customHeight="1" spans="1:7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</row>
    <row r="260" ht="15.75" customHeight="1" spans="1:7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</row>
    <row r="261" ht="15.75" customHeight="1" spans="1:7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</row>
    <row r="262" ht="15.75" customHeight="1" spans="1:7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</row>
    <row r="263" ht="15.75" customHeight="1" spans="1:7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</row>
    <row r="264" ht="15.75" customHeight="1" spans="1:7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</row>
    <row r="265" ht="15.75" customHeight="1" spans="1:7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</row>
    <row r="266" ht="15.75" customHeight="1" spans="1:7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</row>
    <row r="267" ht="15.75" customHeight="1" spans="1:7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</row>
    <row r="268" ht="15.75" customHeight="1" spans="1:7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</row>
    <row r="269" ht="15.75" customHeight="1" spans="1:7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</row>
    <row r="270" ht="15.75" customHeight="1" spans="1:7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</row>
    <row r="271" ht="15.75" customHeight="1" spans="1:7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</row>
    <row r="272" ht="15.75" customHeight="1" spans="1:7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</row>
    <row r="273" ht="15.75" customHeight="1" spans="1:7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</row>
    <row r="274" ht="15.75" customHeight="1" spans="1:7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</row>
    <row r="275" ht="15.75" customHeight="1" spans="1:7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</row>
    <row r="276" ht="15.75" customHeight="1" spans="1: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</row>
    <row r="277" ht="15.75" customHeight="1" spans="1:7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</row>
    <row r="278" ht="15.75" customHeight="1" spans="1:7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</row>
    <row r="279" ht="15.75" customHeight="1" spans="1:7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</row>
    <row r="280" ht="15.75" customHeight="1" spans="1:7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</row>
    <row r="281" ht="15.75" customHeight="1" spans="1:7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</row>
    <row r="282" ht="15.75" customHeight="1" spans="1:7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</row>
    <row r="283" ht="15.75" customHeight="1" spans="1:7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</row>
    <row r="284" ht="15.75" customHeight="1" spans="1:7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</row>
    <row r="285" ht="15.75" customHeight="1" spans="1:7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</row>
    <row r="286" ht="15.75" customHeight="1" spans="1:7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</row>
    <row r="287" ht="15.75" customHeight="1" spans="1:7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</row>
    <row r="288" ht="15.75" customHeight="1" spans="1:7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</row>
    <row r="289" ht="15.75" customHeight="1" spans="1:7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</row>
    <row r="290" ht="15.75" customHeight="1" spans="1:7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</row>
    <row r="291" ht="15.75" customHeight="1" spans="1:7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</row>
    <row r="292" ht="15.75" customHeight="1" spans="1:7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</row>
    <row r="293" ht="15.75" customHeight="1" spans="1:7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</row>
    <row r="294" ht="15.75" customHeight="1" spans="1:7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</row>
    <row r="295" ht="15.75" customHeight="1" spans="1:7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</row>
    <row r="296" ht="15.75" customHeight="1" spans="1:7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</row>
    <row r="297" ht="15.75" customHeight="1" spans="1:7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</row>
    <row r="298" ht="15.75" customHeight="1" spans="1:7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</row>
    <row r="299" ht="15.75" customHeight="1" spans="1:7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</row>
    <row r="300" ht="15.75" customHeight="1" spans="1:7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</row>
    <row r="301" ht="15.75" customHeight="1" spans="1:7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</row>
    <row r="302" ht="15.75" customHeight="1" spans="1:7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</row>
    <row r="303" ht="15.75" customHeight="1" spans="1:7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</row>
    <row r="304" ht="15.75" customHeight="1" spans="1:7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</row>
    <row r="305" ht="15.75" customHeight="1" spans="1:7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</row>
    <row r="306" ht="15.75" customHeight="1" spans="1:7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</row>
    <row r="307" ht="15.75" customHeight="1" spans="1:7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</row>
    <row r="308" ht="15.75" customHeight="1" spans="1:7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</row>
    <row r="309" ht="15.75" customHeight="1" spans="1:7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</row>
    <row r="310" ht="15.75" customHeight="1" spans="1:7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</row>
    <row r="311" ht="15.75" customHeight="1" spans="1:7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</row>
    <row r="312" ht="15.75" customHeight="1" spans="1:7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</row>
    <row r="313" ht="15.75" customHeight="1" spans="1:7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</row>
    <row r="314" ht="15.75" customHeight="1" spans="1:7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</row>
    <row r="315" ht="15.75" customHeight="1" spans="1:7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</row>
    <row r="316" ht="15.75" customHeight="1" spans="1:7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</row>
    <row r="317" ht="15.75" customHeight="1" spans="1:7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</row>
    <row r="318" ht="15.75" customHeight="1" spans="1:7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</row>
    <row r="319" ht="15.75" customHeight="1" spans="1:7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</row>
    <row r="320" ht="15.75" customHeight="1" spans="1:7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</row>
    <row r="321" ht="15.75" customHeight="1" spans="1:7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</row>
    <row r="322" ht="15.75" customHeight="1" spans="1:7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</row>
    <row r="323" ht="15.75" customHeight="1" spans="1:7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</row>
    <row r="324" ht="15.75" customHeight="1" spans="1:7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</row>
    <row r="325" ht="15.75" customHeight="1" spans="1:7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</row>
    <row r="326" ht="15.75" customHeight="1" spans="1:7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</row>
    <row r="327" ht="15.75" customHeight="1" spans="1:7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</row>
    <row r="328" ht="15.75" customHeight="1" spans="1:7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</row>
    <row r="329" ht="15.75" customHeight="1" spans="1:7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</row>
    <row r="330" ht="15.75" customHeight="1" spans="1:7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</row>
    <row r="331" ht="15.75" customHeight="1" spans="1:7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</row>
    <row r="332" ht="15.75" customHeight="1" spans="1:7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</row>
    <row r="333" ht="15.75" customHeight="1" spans="1:7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</row>
    <row r="334" ht="15.75" customHeight="1" spans="1:7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</row>
    <row r="335" ht="15.75" customHeight="1" spans="1:7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</row>
    <row r="336" ht="15.75" customHeight="1" spans="1:7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</row>
    <row r="337" ht="15.75" customHeight="1" spans="1:7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</row>
    <row r="338" ht="15.75" customHeight="1" spans="1:7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</row>
    <row r="339" ht="15.75" customHeight="1" spans="1:7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</row>
    <row r="340" ht="15.75" customHeight="1" spans="1:7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</row>
    <row r="341" ht="15.75" customHeight="1" spans="1:7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</row>
    <row r="342" ht="15.75" customHeight="1" spans="1:7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</row>
    <row r="343" ht="15.75" customHeight="1" spans="1:7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</row>
    <row r="344" ht="15.75" customHeight="1" spans="1:7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</row>
    <row r="345" ht="15.75" customHeight="1" spans="1:7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</row>
    <row r="346" ht="15.75" customHeight="1" spans="1:7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</row>
    <row r="347" ht="15.75" customHeight="1" spans="1:7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</row>
    <row r="348" ht="15.75" customHeight="1" spans="1:7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</row>
    <row r="349" ht="15.75" customHeight="1" spans="1:7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</row>
    <row r="350" ht="15.75" customHeight="1" spans="1:7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</row>
    <row r="351" ht="15.75" customHeight="1" spans="1:7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</row>
    <row r="352" ht="15.75" customHeight="1" spans="1:7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</row>
    <row r="353" ht="15.75" customHeight="1" spans="1:7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</row>
    <row r="354" ht="15.75" customHeight="1" spans="1:7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</row>
    <row r="355" ht="15.75" customHeight="1" spans="1:7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</row>
    <row r="356" ht="15.75" customHeight="1" spans="1:7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</row>
    <row r="357" ht="15.75" customHeight="1" spans="1:7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</row>
    <row r="358" ht="15.75" customHeight="1" spans="1:7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</row>
    <row r="359" ht="15.75" customHeight="1" spans="1:7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</row>
    <row r="360" ht="15.75" customHeight="1" spans="1:7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</row>
    <row r="361" ht="15.75" customHeight="1" spans="1:7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</row>
    <row r="362" ht="15.75" customHeight="1" spans="1:7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</row>
    <row r="363" ht="15.75" customHeight="1" spans="1:7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</row>
    <row r="364" ht="15.75" customHeight="1" spans="1:7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</row>
    <row r="365" ht="15.75" customHeight="1" spans="1:7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</row>
    <row r="366" ht="15.75" customHeight="1" spans="1:7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</row>
    <row r="367" ht="15.75" customHeight="1" spans="1:7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</row>
    <row r="368" ht="15.75" customHeight="1" spans="1:7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</row>
    <row r="369" ht="15.75" customHeight="1" spans="1:7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</row>
    <row r="370" ht="15.75" customHeight="1" spans="1:7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</row>
    <row r="371" ht="15.75" customHeight="1" spans="1:7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</row>
    <row r="372" ht="15.75" customHeight="1" spans="1:7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</row>
    <row r="373" ht="15.75" customHeight="1" spans="1:7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</row>
    <row r="374" ht="15.75" customHeight="1" spans="1:7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</row>
    <row r="375" ht="15.75" customHeight="1" spans="1:7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</row>
    <row r="376" ht="15.75" customHeight="1" spans="1: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</row>
    <row r="377" ht="15.75" customHeight="1" spans="1:7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</row>
    <row r="378" ht="15.75" customHeight="1" spans="1:7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</row>
    <row r="379" ht="15.75" customHeight="1" spans="1:7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</row>
    <row r="380" ht="15.75" customHeight="1" spans="1:7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</row>
    <row r="381" ht="15.75" customHeight="1" spans="1:7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</row>
    <row r="382" ht="15.75" customHeight="1" spans="1:7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</row>
    <row r="383" ht="15.75" customHeight="1" spans="1:7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</row>
    <row r="384" ht="15.75" customHeight="1" spans="1:7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</row>
    <row r="385" ht="15.75" customHeight="1" spans="1:7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</row>
    <row r="386" ht="15.75" customHeight="1" spans="1:7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</row>
    <row r="387" ht="15.75" customHeight="1" spans="1:7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</row>
    <row r="388" ht="15.75" customHeight="1" spans="1:7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</row>
    <row r="389" ht="15.75" customHeight="1" spans="1:7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</row>
    <row r="390" ht="15.75" customHeight="1" spans="1:7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</row>
    <row r="391" ht="15.75" customHeight="1" spans="1:7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</row>
    <row r="392" ht="15.75" customHeight="1" spans="1:7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</row>
    <row r="393" ht="15.75" customHeight="1" spans="1:7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</row>
    <row r="394" ht="15.75" customHeight="1" spans="1:7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</row>
    <row r="395" ht="15.75" customHeight="1" spans="1:7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</row>
    <row r="396" ht="15.75" customHeight="1" spans="1:7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</row>
    <row r="397" ht="15.75" customHeight="1" spans="1:7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</row>
    <row r="398" ht="15.75" customHeight="1" spans="1:7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</row>
    <row r="399" ht="15.75" customHeight="1" spans="1:7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</row>
    <row r="400" ht="15.75" customHeight="1" spans="1:7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</row>
    <row r="401" ht="15.75" customHeight="1" spans="1:7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</row>
    <row r="402" ht="15.75" customHeight="1" spans="1:7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</row>
    <row r="403" ht="15.75" customHeight="1" spans="1:7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</row>
    <row r="404" ht="15.75" customHeight="1" spans="1:7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</row>
    <row r="405" ht="15.75" customHeight="1" spans="1:7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</row>
    <row r="406" ht="15.75" customHeight="1" spans="1:7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</row>
    <row r="407" ht="15.75" customHeight="1" spans="1:7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</row>
    <row r="408" ht="15.75" customHeight="1" spans="1:7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</row>
    <row r="409" ht="15.75" customHeight="1" spans="1:7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</row>
    <row r="410" ht="15.75" customHeight="1" spans="1:7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</row>
    <row r="411" ht="15.75" customHeight="1" spans="1:7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</row>
    <row r="412" ht="15.75" customHeight="1" spans="1:7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</row>
    <row r="413" ht="15.75" customHeight="1" spans="1:7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</row>
    <row r="414" ht="15.75" customHeight="1" spans="1:7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</row>
    <row r="415" ht="15.75" customHeight="1" spans="1:7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</row>
    <row r="416" ht="15.75" customHeight="1" spans="1:7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</row>
    <row r="417" ht="15.75" customHeight="1" spans="1:7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</row>
    <row r="418" ht="15.75" customHeight="1" spans="1:7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</row>
    <row r="419" ht="15.75" customHeight="1" spans="1:7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</row>
    <row r="420" ht="15.75" customHeight="1" spans="1:7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</row>
    <row r="421" ht="15.75" customHeight="1" spans="1:7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</row>
    <row r="422" ht="15.75" customHeight="1" spans="1:7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</row>
    <row r="423" ht="15.75" customHeight="1" spans="1:7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</row>
    <row r="424" ht="15.75" customHeight="1" spans="1:7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</row>
    <row r="425" ht="15.75" customHeight="1" spans="1:7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</row>
    <row r="426" ht="15.75" customHeight="1" spans="1:7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</row>
    <row r="427" ht="15.75" customHeight="1" spans="1:7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</row>
    <row r="428" ht="15.75" customHeight="1" spans="1:7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</row>
    <row r="429" ht="15.75" customHeight="1" spans="1:7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</row>
    <row r="430" ht="15.75" customHeight="1" spans="1:7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</row>
    <row r="431" ht="15.75" customHeight="1" spans="1:7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</row>
    <row r="432" ht="15.75" customHeight="1" spans="1:7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</row>
    <row r="433" ht="15.75" customHeight="1" spans="1:7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</row>
    <row r="434" ht="15.75" customHeight="1" spans="1:7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</row>
    <row r="435" ht="15.75" customHeight="1" spans="1:7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</row>
    <row r="436" ht="15.75" customHeight="1" spans="1:7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</row>
    <row r="437" ht="15.75" customHeight="1" spans="1:7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</row>
    <row r="438" ht="15.75" customHeight="1" spans="1:7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</row>
    <row r="439" ht="15.75" customHeight="1" spans="1:7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</row>
    <row r="440" ht="15.75" customHeight="1" spans="1:7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</row>
    <row r="441" ht="15.75" customHeight="1" spans="1:7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</row>
    <row r="442" ht="15.75" customHeight="1" spans="1:7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</row>
    <row r="443" ht="15.75" customHeight="1" spans="1:7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</row>
    <row r="444" ht="15.75" customHeight="1" spans="1:7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</row>
    <row r="445" ht="15.75" customHeight="1" spans="1:7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</row>
    <row r="446" ht="15.75" customHeight="1" spans="1:7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</row>
    <row r="447" ht="15.75" customHeight="1" spans="1:7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</row>
    <row r="448" ht="15.75" customHeight="1" spans="1:7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</row>
    <row r="449" ht="15.75" customHeight="1" spans="1:7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</row>
    <row r="450" ht="15.75" customHeight="1" spans="1:7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</row>
    <row r="451" ht="15.75" customHeight="1" spans="1:7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</row>
    <row r="452" ht="15.75" customHeight="1" spans="1:7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</row>
    <row r="453" ht="15.75" customHeight="1" spans="1:7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</row>
    <row r="454" ht="15.75" customHeight="1" spans="1:7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</row>
    <row r="455" ht="15.75" customHeight="1" spans="1:7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</row>
    <row r="456" ht="15.75" customHeight="1" spans="1:7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</row>
    <row r="457" ht="15.75" customHeight="1" spans="1:7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</row>
    <row r="458" ht="15.75" customHeight="1" spans="1:7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</row>
    <row r="459" ht="15.75" customHeight="1" spans="1:7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</row>
    <row r="460" ht="15.75" customHeight="1" spans="1:7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</row>
    <row r="461" ht="15.75" customHeight="1" spans="1:7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</row>
    <row r="462" ht="15.75" customHeight="1" spans="1:7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</row>
    <row r="463" ht="15.75" customHeight="1" spans="1:7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</row>
    <row r="464" ht="15.75" customHeight="1" spans="1:7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</row>
    <row r="465" ht="15.75" customHeight="1" spans="1:7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</row>
    <row r="466" ht="15.75" customHeight="1" spans="1:7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</row>
    <row r="467" ht="15.75" customHeight="1" spans="1:7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</row>
    <row r="468" ht="15.75" customHeight="1" spans="1:7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</row>
    <row r="469" ht="15.75" customHeight="1" spans="1:7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</row>
    <row r="470" ht="15.75" customHeight="1" spans="1:7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</row>
    <row r="471" ht="15.75" customHeight="1" spans="1:7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</row>
    <row r="472" ht="15.75" customHeight="1" spans="1:7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</row>
    <row r="473" ht="15.75" customHeight="1" spans="1:7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</row>
    <row r="474" ht="15.75" customHeight="1" spans="1:7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</row>
    <row r="475" ht="15.75" customHeight="1" spans="1:7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</row>
    <row r="476" ht="15.75" customHeight="1" spans="1: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</row>
    <row r="477" ht="15.75" customHeight="1" spans="1:7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</row>
    <row r="478" ht="15.75" customHeight="1" spans="1:7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</row>
    <row r="479" ht="15.75" customHeight="1" spans="1:7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</row>
    <row r="480" ht="15.75" customHeight="1" spans="1:7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</row>
    <row r="481" ht="15.75" customHeight="1" spans="1:7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</row>
    <row r="482" ht="15.75" customHeight="1" spans="1:7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</row>
    <row r="483" ht="15.75" customHeight="1" spans="1:7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</row>
    <row r="484" ht="15.75" customHeight="1" spans="1:7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</row>
    <row r="485" ht="15.75" customHeight="1" spans="1:7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</row>
    <row r="486" ht="15.75" customHeight="1" spans="1:7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</row>
    <row r="487" ht="15.75" customHeight="1" spans="1:7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</row>
    <row r="488" ht="15.75" customHeight="1" spans="1:7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</row>
    <row r="489" ht="15.75" customHeight="1" spans="1:7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</row>
    <row r="490" ht="15.75" customHeight="1" spans="1:7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</row>
    <row r="491" ht="15.75" customHeight="1" spans="1:7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</row>
    <row r="492" ht="15.75" customHeight="1" spans="1:7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</row>
    <row r="493" ht="15.75" customHeight="1" spans="1:7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</row>
    <row r="494" ht="15.75" customHeight="1" spans="1:7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</row>
    <row r="495" ht="15.75" customHeight="1" spans="1:7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</row>
    <row r="496" ht="15.75" customHeight="1" spans="1:7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</row>
    <row r="497" ht="15.75" customHeight="1" spans="1:7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</row>
    <row r="498" ht="15.75" customHeight="1" spans="1:7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</row>
    <row r="499" ht="15.75" customHeight="1" spans="1:7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</row>
    <row r="500" ht="15.75" customHeight="1" spans="1:7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</row>
    <row r="501" ht="15.75" customHeight="1" spans="1:7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</row>
    <row r="502" ht="15.75" customHeight="1" spans="1:7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</row>
    <row r="503" ht="15.75" customHeight="1" spans="1:7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</row>
    <row r="504" ht="15.75" customHeight="1" spans="1:7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</row>
    <row r="505" ht="15.75" customHeight="1" spans="1:7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</row>
    <row r="506" ht="15.75" customHeight="1" spans="1:7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</row>
    <row r="507" ht="15.75" customHeight="1" spans="1:7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</row>
    <row r="508" ht="15.75" customHeight="1" spans="1:7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</row>
    <row r="509" ht="15.75" customHeight="1" spans="1:7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</row>
    <row r="510" ht="15.75" customHeight="1" spans="1:7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</row>
    <row r="511" ht="15.75" customHeight="1" spans="1:7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</row>
    <row r="512" ht="15.75" customHeight="1" spans="1:7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</row>
    <row r="513" ht="15.75" customHeight="1" spans="1:7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</row>
    <row r="514" ht="15.75" customHeight="1" spans="1:7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</row>
    <row r="515" ht="15.75" customHeight="1" spans="1:7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</row>
    <row r="516" ht="15.75" customHeight="1" spans="1:7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</row>
    <row r="517" ht="15.75" customHeight="1" spans="1:7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</row>
    <row r="518" ht="15.75" customHeight="1" spans="1:7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</row>
    <row r="519" ht="15.75" customHeight="1" spans="1:7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</row>
    <row r="520" ht="15.75" customHeight="1" spans="1:7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</row>
    <row r="521" ht="15.75" customHeight="1" spans="1:7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</row>
    <row r="522" ht="15.75" customHeight="1" spans="1:7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</row>
    <row r="523" ht="15.75" customHeight="1" spans="1:7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</row>
    <row r="524" ht="15.75" customHeight="1" spans="1:7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</row>
    <row r="525" ht="15.75" customHeight="1" spans="1:7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</row>
    <row r="526" ht="15.75" customHeight="1" spans="1:7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</row>
    <row r="527" ht="15.75" customHeight="1" spans="1:7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</row>
    <row r="528" ht="15.75" customHeight="1" spans="1:7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</row>
    <row r="529" ht="15.75" customHeight="1" spans="1:7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</row>
    <row r="530" ht="15.75" customHeight="1" spans="1:7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</row>
    <row r="531" ht="15.75" customHeight="1" spans="1:7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</row>
    <row r="532" ht="15.75" customHeight="1" spans="1:7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</row>
    <row r="533" ht="15.75" customHeight="1" spans="1:7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</row>
    <row r="534" ht="15.75" customHeight="1" spans="1:7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</row>
    <row r="535" ht="15.75" customHeight="1" spans="1:7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</row>
    <row r="536" ht="15.75" customHeight="1" spans="1:7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</row>
    <row r="537" ht="15.75" customHeight="1" spans="1:7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</row>
    <row r="538" ht="15.75" customHeight="1" spans="1:7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</row>
    <row r="539" ht="15.75" customHeight="1" spans="1:7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</row>
    <row r="540" ht="15.75" customHeight="1" spans="1:7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</row>
    <row r="541" ht="15.75" customHeight="1" spans="1:7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</row>
    <row r="542" ht="15.75" customHeight="1" spans="1:7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</row>
    <row r="543" ht="15.75" customHeight="1" spans="1:7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</row>
    <row r="544" ht="15.75" customHeight="1" spans="1:7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</row>
    <row r="545" ht="15.75" customHeight="1" spans="1:7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</row>
    <row r="546" ht="15.75" customHeight="1" spans="1:7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</row>
    <row r="547" ht="15.75" customHeight="1" spans="1:7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</row>
    <row r="548" ht="15.75" customHeight="1" spans="1:7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</row>
    <row r="549" ht="15.75" customHeight="1" spans="1:7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</row>
    <row r="550" ht="15.75" customHeight="1" spans="1:7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</row>
    <row r="551" ht="15.75" customHeight="1" spans="1:7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</row>
    <row r="552" ht="15.75" customHeight="1" spans="1:7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</row>
    <row r="553" ht="15.75" customHeight="1" spans="1:7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</row>
    <row r="554" ht="15.75" customHeight="1" spans="1:7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</row>
    <row r="555" ht="15.75" customHeight="1" spans="1:7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</row>
    <row r="556" ht="15.75" customHeight="1" spans="1:7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</row>
    <row r="557" ht="15.75" customHeight="1" spans="1:7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</row>
    <row r="558" ht="15.75" customHeight="1" spans="1:7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</row>
    <row r="559" ht="15.75" customHeight="1" spans="1:7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</row>
    <row r="560" ht="15.75" customHeight="1" spans="1:7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</row>
    <row r="561" ht="15.75" customHeight="1" spans="1:7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</row>
    <row r="562" ht="15.75" customHeight="1" spans="1:7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</row>
    <row r="563" ht="15.75" customHeight="1" spans="1:7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</row>
    <row r="564" ht="15.75" customHeight="1" spans="1:7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</row>
    <row r="565" ht="15.75" customHeight="1" spans="1:7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</row>
    <row r="566" ht="15.75" customHeight="1" spans="1:7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</row>
    <row r="567" ht="15.75" customHeight="1" spans="1:7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</row>
    <row r="568" ht="15.75" customHeight="1" spans="1:7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</row>
    <row r="569" ht="15.75" customHeight="1" spans="1:7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</row>
    <row r="570" ht="15.75" customHeight="1" spans="1:7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</row>
    <row r="571" ht="15.75" customHeight="1" spans="1:7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</row>
    <row r="572" ht="15.75" customHeight="1" spans="1:7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</row>
    <row r="573" ht="15.75" customHeight="1" spans="1:7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</row>
    <row r="574" ht="15.75" customHeight="1" spans="1:7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</row>
    <row r="575" ht="15.75" customHeight="1" spans="1:7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</row>
    <row r="576" ht="15.75" customHeight="1" spans="1: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</row>
    <row r="577" ht="15.75" customHeight="1" spans="1:7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</row>
    <row r="578" ht="15.75" customHeight="1" spans="1:7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</row>
    <row r="579" ht="15.75" customHeight="1" spans="1:7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</row>
    <row r="580" ht="15.75" customHeight="1" spans="1:7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</row>
    <row r="581" ht="15.75" customHeight="1" spans="1:7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</row>
    <row r="582" ht="15.75" customHeight="1" spans="1:7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</row>
    <row r="583" ht="15.75" customHeight="1" spans="1:7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</row>
    <row r="584" ht="15.75" customHeight="1" spans="1:7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</row>
    <row r="585" ht="15.75" customHeight="1" spans="1:7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</row>
    <row r="586" ht="15.75" customHeight="1" spans="1:7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</row>
    <row r="587" ht="15.75" customHeight="1" spans="1:7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</row>
    <row r="588" ht="15.75" customHeight="1" spans="1:7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</row>
    <row r="589" ht="15.75" customHeight="1" spans="1:7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</row>
    <row r="590" ht="15.75" customHeight="1" spans="1:7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</row>
    <row r="591" ht="15.75" customHeight="1" spans="1:7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</row>
    <row r="592" ht="15.75" customHeight="1" spans="1:7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</row>
    <row r="593" ht="15.75" customHeight="1" spans="1:7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</row>
    <row r="594" ht="15.75" customHeight="1" spans="1:7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</row>
    <row r="595" ht="15.75" customHeight="1" spans="1:7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</row>
    <row r="596" ht="15.75" customHeight="1" spans="1:7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</row>
    <row r="597" ht="15.75" customHeight="1" spans="1:7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</row>
    <row r="598" ht="15.75" customHeight="1" spans="1:7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</row>
    <row r="599" ht="15.75" customHeight="1" spans="1:7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</row>
    <row r="600" ht="15.75" customHeight="1" spans="1:7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</row>
    <row r="601" ht="15.75" customHeight="1" spans="1:7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</row>
    <row r="602" ht="15.75" customHeight="1" spans="1:7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</row>
    <row r="603" ht="15.75" customHeight="1" spans="1:7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</row>
    <row r="604" ht="15.75" customHeight="1" spans="1:7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</row>
    <row r="605" ht="15.75" customHeight="1" spans="1:7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</row>
    <row r="606" ht="15.75" customHeight="1" spans="1:7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</row>
    <row r="607" ht="15.75" customHeight="1" spans="1:7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</row>
    <row r="608" ht="15.75" customHeight="1" spans="1:7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</row>
    <row r="609" ht="15.75" customHeight="1" spans="1:7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</row>
    <row r="610" ht="15.75" customHeight="1" spans="1:7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</row>
    <row r="611" ht="15.75" customHeight="1" spans="1:7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</row>
    <row r="612" ht="15.75" customHeight="1" spans="1:7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</row>
    <row r="613" ht="15.75" customHeight="1" spans="1:7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</row>
    <row r="614" ht="15.75" customHeight="1" spans="1:7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</row>
    <row r="615" ht="15.75" customHeight="1" spans="1:7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</row>
    <row r="616" ht="15.75" customHeight="1" spans="1:7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</row>
    <row r="617" ht="15.75" customHeight="1" spans="1:7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</row>
    <row r="618" ht="15.75" customHeight="1" spans="1:7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</row>
    <row r="619" ht="15.75" customHeight="1" spans="1:7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</row>
    <row r="620" ht="15.75" customHeight="1" spans="1:7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</row>
    <row r="621" ht="15.75" customHeight="1" spans="1:7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</row>
    <row r="622" ht="15.75" customHeight="1" spans="1:7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</row>
    <row r="623" ht="15.75" customHeight="1" spans="1:7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</row>
    <row r="624" ht="15.75" customHeight="1" spans="1:7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</row>
    <row r="625" ht="15.75" customHeight="1" spans="1:7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</row>
    <row r="626" ht="15.75" customHeight="1" spans="1:7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</row>
    <row r="627" ht="15.75" customHeight="1" spans="1:7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</row>
    <row r="628" ht="15.75" customHeight="1" spans="1:7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</row>
    <row r="629" ht="15.75" customHeight="1" spans="1:7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</row>
    <row r="630" ht="15.75" customHeight="1" spans="1:7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</row>
    <row r="631" ht="15.75" customHeight="1" spans="1:7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</row>
    <row r="632" ht="15.75" customHeight="1" spans="1:7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</row>
    <row r="633" ht="15.75" customHeight="1" spans="1:7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</row>
    <row r="634" ht="15.75" customHeight="1" spans="1:7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</row>
    <row r="635" ht="15.75" customHeight="1" spans="1:7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</row>
    <row r="636" ht="15.75" customHeight="1" spans="1:7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</row>
    <row r="637" ht="15.75" customHeight="1" spans="1:7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</row>
    <row r="638" ht="15.75" customHeight="1" spans="1:7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</row>
    <row r="639" ht="15.75" customHeight="1" spans="1:7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</row>
    <row r="640" ht="15.75" customHeight="1" spans="1:7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</row>
    <row r="641" ht="15.75" customHeight="1" spans="1:7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</row>
    <row r="642" ht="15.75" customHeight="1" spans="1:7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</row>
    <row r="643" ht="15.75" customHeight="1" spans="1:7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</row>
    <row r="644" ht="15.75" customHeight="1" spans="1:7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</row>
    <row r="645" ht="15.75" customHeight="1" spans="1:7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</row>
    <row r="646" ht="15.75" customHeight="1" spans="1:7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</row>
    <row r="647" ht="15.75" customHeight="1" spans="1:7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</row>
    <row r="648" ht="15.75" customHeight="1" spans="1:7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</row>
    <row r="649" ht="15.75" customHeight="1" spans="1:7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</row>
    <row r="650" ht="15.75" customHeight="1" spans="1:7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</row>
    <row r="651" ht="15.75" customHeight="1" spans="1:7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</row>
    <row r="652" ht="15.75" customHeight="1" spans="1:7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</row>
    <row r="653" ht="15.75" customHeight="1" spans="1:7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</row>
    <row r="654" ht="15.75" customHeight="1" spans="1:7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</row>
    <row r="655" ht="15.75" customHeight="1" spans="1:7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</row>
    <row r="656" ht="15.75" customHeight="1" spans="1:7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</row>
    <row r="657" ht="15.75" customHeight="1" spans="1:7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</row>
    <row r="658" ht="15.75" customHeight="1" spans="1:7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</row>
    <row r="659" ht="15.75" customHeight="1" spans="1:7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</row>
    <row r="660" ht="15.75" customHeight="1" spans="1:7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</row>
    <row r="661" ht="15.75" customHeight="1" spans="1:7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</row>
    <row r="662" ht="15.75" customHeight="1" spans="1:7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</row>
    <row r="663" ht="15.75" customHeight="1" spans="1:7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</row>
    <row r="664" ht="15.75" customHeight="1" spans="1:7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</row>
    <row r="665" ht="15.75" customHeight="1" spans="1:7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</row>
    <row r="666" ht="15.75" customHeight="1" spans="1:7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</row>
    <row r="667" ht="15.75" customHeight="1" spans="1:7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</row>
    <row r="668" ht="15.75" customHeight="1" spans="1:7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</row>
    <row r="669" ht="15.75" customHeight="1" spans="1:7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</row>
    <row r="670" ht="15.75" customHeight="1" spans="1:7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</row>
    <row r="671" ht="15.75" customHeight="1" spans="1:7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</row>
    <row r="672" ht="15.75" customHeight="1" spans="1:7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</row>
    <row r="673" ht="15.75" customHeight="1" spans="1:7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</row>
    <row r="674" ht="15.75" customHeight="1" spans="1:7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</row>
    <row r="675" ht="15.75" customHeight="1" spans="1:7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</row>
    <row r="676" ht="15.75" customHeight="1" spans="1: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</row>
    <row r="677" ht="15.75" customHeight="1" spans="1:7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</row>
    <row r="678" ht="15.75" customHeight="1" spans="1:7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</row>
    <row r="679" ht="15.75" customHeight="1" spans="1:7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</row>
    <row r="680" ht="15.75" customHeight="1" spans="1:7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</row>
    <row r="681" ht="15.75" customHeight="1" spans="1:7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</row>
    <row r="682" ht="15.75" customHeight="1" spans="1:7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</row>
    <row r="683" ht="15.75" customHeight="1" spans="1:7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</row>
    <row r="684" ht="15.75" customHeight="1" spans="1:7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</row>
    <row r="685" ht="15.75" customHeight="1" spans="1:7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</row>
    <row r="686" ht="15.75" customHeight="1" spans="1:7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</row>
    <row r="687" ht="15.75" customHeight="1" spans="1:7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</row>
    <row r="688" ht="15.75" customHeight="1" spans="1:7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</row>
    <row r="689" ht="15.75" customHeight="1" spans="1:7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</row>
    <row r="690" ht="15.75" customHeight="1" spans="1:7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</row>
    <row r="691" ht="15.75" customHeight="1" spans="1:7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</row>
    <row r="692" ht="15.75" customHeight="1" spans="1:7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</row>
    <row r="693" ht="15.75" customHeight="1" spans="1:7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</row>
    <row r="694" ht="15.75" customHeight="1" spans="1:7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</row>
    <row r="695" ht="15.75" customHeight="1" spans="1:7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</row>
    <row r="696" ht="15.75" customHeight="1" spans="1:7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</row>
    <row r="697" ht="15.75" customHeight="1" spans="1:7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</row>
    <row r="698" ht="15.75" customHeight="1" spans="1:7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</row>
    <row r="699" ht="15.75" customHeight="1" spans="1:7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</row>
    <row r="700" ht="15.75" customHeight="1" spans="1:7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</row>
    <row r="701" ht="15.75" customHeight="1" spans="1:7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</row>
    <row r="702" ht="15.75" customHeight="1" spans="1:7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</row>
    <row r="703" ht="15.75" customHeight="1" spans="1:7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</row>
    <row r="704" ht="15.75" customHeight="1" spans="1:7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</row>
    <row r="705" ht="15.75" customHeight="1" spans="1:7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</row>
    <row r="706" ht="15.75" customHeight="1" spans="1:7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</row>
    <row r="707" ht="15.75" customHeight="1" spans="1:7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</row>
    <row r="708" ht="15.75" customHeight="1" spans="1:7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</row>
    <row r="709" ht="15.75" customHeight="1" spans="1:7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</row>
    <row r="710" ht="15.75" customHeight="1" spans="1:7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</row>
    <row r="711" ht="15.75" customHeight="1" spans="1:7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</row>
    <row r="712" ht="15.75" customHeight="1" spans="1:7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</row>
    <row r="713" ht="15.75" customHeight="1" spans="1:7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</row>
    <row r="714" ht="15.75" customHeight="1" spans="1:7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</row>
    <row r="715" ht="15.75" customHeight="1" spans="1:7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</row>
    <row r="716" ht="15.75" customHeight="1" spans="1:7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</row>
    <row r="717" ht="15.75" customHeight="1" spans="1:7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</row>
    <row r="718" ht="15.75" customHeight="1" spans="1:7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</row>
    <row r="719" ht="15.75" customHeight="1" spans="1:7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</row>
    <row r="720" ht="15.75" customHeight="1" spans="1:7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</row>
    <row r="721" ht="15.75" customHeight="1" spans="1:7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</row>
    <row r="722" ht="15.75" customHeight="1" spans="1:7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</row>
    <row r="723" ht="15.75" customHeight="1" spans="1:7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</row>
    <row r="724" ht="15.75" customHeight="1" spans="1:7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</row>
    <row r="725" ht="15.75" customHeight="1" spans="1:7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</row>
    <row r="726" ht="15.75" customHeight="1" spans="1:7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</row>
    <row r="727" ht="15.75" customHeight="1" spans="1:7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</row>
    <row r="728" ht="15.75" customHeight="1" spans="1:7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</row>
    <row r="729" ht="15.75" customHeight="1" spans="1:7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</row>
    <row r="730" ht="15.75" customHeight="1" spans="1:7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</row>
    <row r="731" ht="15.75" customHeight="1" spans="1:7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</row>
    <row r="732" ht="15.75" customHeight="1" spans="1:7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</row>
    <row r="733" ht="15.75" customHeight="1" spans="1:7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</row>
    <row r="734" ht="15.75" customHeight="1" spans="1:7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</row>
    <row r="735" ht="15.75" customHeight="1" spans="1:7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</row>
    <row r="736" ht="15.75" customHeight="1" spans="1:7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</row>
    <row r="737" ht="15.75" customHeight="1" spans="1:7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</row>
    <row r="738" ht="15.75" customHeight="1" spans="1:7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</row>
    <row r="739" ht="15.75" customHeight="1" spans="1:7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</row>
    <row r="740" ht="15.75" customHeight="1" spans="1:7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</row>
    <row r="741" ht="15.75" customHeight="1" spans="1:7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</row>
    <row r="742" ht="15.75" customHeight="1" spans="1:7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</row>
    <row r="743" ht="15.75" customHeight="1" spans="1:7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</row>
    <row r="744" ht="15.75" customHeight="1" spans="1:7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</row>
    <row r="745" ht="15.75" customHeight="1" spans="1:7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</row>
    <row r="746" ht="15.75" customHeight="1" spans="1:7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</row>
    <row r="747" ht="15.75" customHeight="1" spans="1:7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</row>
    <row r="748" ht="15.75" customHeight="1" spans="1:7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</row>
    <row r="749" ht="15.75" customHeight="1" spans="1:7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</row>
    <row r="750" ht="15.75" customHeight="1" spans="1:7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</row>
    <row r="751" ht="15.75" customHeight="1" spans="1:7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</row>
    <row r="752" ht="15.75" customHeight="1" spans="1:7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</row>
    <row r="753" ht="15.75" customHeight="1" spans="1:7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</row>
    <row r="754" ht="15.75" customHeight="1" spans="1:7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</row>
    <row r="755" ht="15.75" customHeight="1" spans="1:7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</row>
    <row r="756" ht="15.75" customHeight="1" spans="1:7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</row>
    <row r="757" ht="15.75" customHeight="1" spans="1:7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</row>
    <row r="758" ht="15.75" customHeight="1" spans="1:7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</row>
    <row r="759" ht="15.75" customHeight="1" spans="1:7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</row>
    <row r="760" ht="15.75" customHeight="1" spans="1:7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</row>
    <row r="761" ht="15.75" customHeight="1" spans="1:7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</row>
    <row r="762" ht="15.75" customHeight="1" spans="1:7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</row>
    <row r="763" ht="15.75" customHeight="1" spans="1:7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</row>
    <row r="764" ht="15.75" customHeight="1" spans="1:7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</row>
    <row r="765" ht="15.75" customHeight="1" spans="1:7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</row>
    <row r="766" ht="15.75" customHeight="1" spans="1:7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</row>
    <row r="767" ht="15.75" customHeight="1" spans="1:7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</row>
    <row r="768" ht="15.75" customHeight="1" spans="1:7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</row>
    <row r="769" ht="15.75" customHeight="1" spans="1:7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</row>
    <row r="770" ht="15.75" customHeight="1" spans="1:7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</row>
    <row r="771" ht="15.75" customHeight="1" spans="1:7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</row>
    <row r="772" ht="15.75" customHeight="1" spans="1:7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</row>
    <row r="773" ht="15.75" customHeight="1" spans="1:7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</row>
    <row r="774" ht="15.75" customHeight="1" spans="1:7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</row>
    <row r="775" ht="15.75" customHeight="1" spans="1:7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</row>
    <row r="776" ht="15.75" customHeight="1" spans="1: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</row>
    <row r="777" ht="15.75" customHeight="1" spans="1:7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</row>
    <row r="778" ht="15.75" customHeight="1" spans="1:7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</row>
    <row r="779" ht="15.75" customHeight="1" spans="1:7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</row>
    <row r="780" ht="15.75" customHeight="1" spans="1:7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</row>
    <row r="781" ht="15.75" customHeight="1" spans="1:7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</row>
    <row r="782" ht="15.75" customHeight="1" spans="1:7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</row>
    <row r="783" ht="15.75" customHeight="1" spans="1:7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</row>
    <row r="784" ht="15.75" customHeight="1" spans="1:7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</row>
    <row r="785" ht="15.75" customHeight="1" spans="1:7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</row>
    <row r="786" ht="15.75" customHeight="1" spans="1:7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</row>
    <row r="787" ht="15.75" customHeight="1" spans="1:7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</row>
    <row r="788" ht="15.75" customHeight="1" spans="1:7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</row>
    <row r="789" ht="15.75" customHeight="1" spans="1:7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</row>
    <row r="790" ht="15.75" customHeight="1" spans="1:7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</row>
    <row r="791" ht="15.75" customHeight="1" spans="1:7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</row>
    <row r="792" ht="15.75" customHeight="1" spans="1:7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</row>
    <row r="793" ht="15.75" customHeight="1" spans="1:7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</row>
    <row r="794" ht="15.75" customHeight="1" spans="1:7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</row>
    <row r="795" ht="15.75" customHeight="1" spans="1:7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</row>
    <row r="796" ht="15.75" customHeight="1" spans="1:7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</row>
    <row r="797" ht="15.75" customHeight="1" spans="1:7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</row>
    <row r="798" ht="15.75" customHeight="1" spans="1:7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</row>
    <row r="799" ht="15.75" customHeight="1" spans="1:7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</row>
    <row r="800" ht="15.75" customHeight="1" spans="1:7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</row>
    <row r="801" ht="15.75" customHeight="1" spans="1:7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</row>
    <row r="802" ht="15.75" customHeight="1" spans="1:7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</row>
    <row r="803" ht="15.75" customHeight="1" spans="1:7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</row>
    <row r="804" ht="15.75" customHeight="1" spans="1:7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</row>
    <row r="805" ht="15.75" customHeight="1" spans="1:7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</row>
    <row r="806" ht="15.75" customHeight="1" spans="1:7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</row>
    <row r="807" ht="15.75" customHeight="1" spans="1:7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</row>
    <row r="808" ht="15.75" customHeight="1" spans="1:7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</row>
    <row r="809" ht="15.75" customHeight="1" spans="1:7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</row>
    <row r="810" ht="15.75" customHeight="1" spans="1:7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</row>
    <row r="811" ht="15.75" customHeight="1" spans="1:7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</row>
    <row r="812" ht="15.75" customHeight="1" spans="1:7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</row>
    <row r="813" ht="15.75" customHeight="1" spans="1:7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</row>
    <row r="814" ht="15.75" customHeight="1" spans="1:7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</row>
    <row r="815" ht="15.75" customHeight="1" spans="1:7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</row>
    <row r="816" ht="15.75" customHeight="1" spans="1:7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</row>
    <row r="817" ht="15.75" customHeight="1" spans="1:7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</row>
    <row r="818" ht="15.75" customHeight="1" spans="1:7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</row>
    <row r="819" ht="15.75" customHeight="1" spans="1:7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</row>
    <row r="820" ht="15.75" customHeight="1" spans="1:7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</row>
    <row r="821" ht="15.75" customHeight="1" spans="1:7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</row>
    <row r="822" ht="15.75" customHeight="1" spans="1:7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</row>
    <row r="823" ht="15.75" customHeight="1" spans="1:7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</row>
    <row r="824" ht="15.75" customHeight="1" spans="1:7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</row>
    <row r="825" ht="15.75" customHeight="1" spans="1:7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</row>
    <row r="826" ht="15.75" customHeight="1" spans="1:7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</row>
    <row r="827" ht="15.75" customHeight="1" spans="1:7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</row>
    <row r="828" ht="15.75" customHeight="1" spans="1:7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</row>
    <row r="829" ht="15.75" customHeight="1" spans="1:7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</row>
    <row r="830" ht="15.75" customHeight="1" spans="1:7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</row>
    <row r="831" ht="15.75" customHeight="1" spans="1:7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</row>
    <row r="832" ht="15.75" customHeight="1" spans="1:7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</row>
    <row r="833" ht="15.75" customHeight="1" spans="1:7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</row>
    <row r="834" ht="15.75" customHeight="1" spans="1:7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</row>
    <row r="835" ht="15.75" customHeight="1" spans="1:7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</row>
    <row r="836" ht="15.75" customHeight="1" spans="1:7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</row>
    <row r="837" ht="15.75" customHeight="1" spans="1:7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</row>
    <row r="838" ht="15.75" customHeight="1" spans="1:7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</row>
    <row r="839" ht="15.75" customHeight="1" spans="1:7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</row>
    <row r="840" ht="15.75" customHeight="1" spans="1:7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</row>
    <row r="841" ht="15.75" customHeight="1" spans="1:7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</row>
    <row r="842" ht="15.75" customHeight="1" spans="1:7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</row>
    <row r="843" ht="15.75" customHeight="1" spans="1:7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</row>
    <row r="844" ht="15.75" customHeight="1" spans="1:7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</row>
    <row r="845" ht="15.75" customHeight="1" spans="1:7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</row>
    <row r="846" ht="15.75" customHeight="1" spans="1:7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</row>
    <row r="847" ht="15.75" customHeight="1" spans="1:7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</row>
    <row r="848" ht="15.75" customHeight="1" spans="1:7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</row>
    <row r="849" ht="15.75" customHeight="1" spans="1:7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</row>
    <row r="850" ht="15.75" customHeight="1" spans="1:7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</row>
    <row r="851" ht="15.75" customHeight="1" spans="1:7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</row>
    <row r="852" ht="15.75" customHeight="1" spans="1:7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</row>
    <row r="853" ht="15.75" customHeight="1" spans="1:7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</row>
    <row r="854" ht="15.75" customHeight="1" spans="1:7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</row>
    <row r="855" ht="15.75" customHeight="1" spans="1:7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</row>
    <row r="856" ht="15.75" customHeight="1" spans="1:7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</row>
    <row r="857" ht="15.75" customHeight="1" spans="1:7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</row>
    <row r="858" ht="15.75" customHeight="1" spans="1:7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</row>
    <row r="859" ht="15.75" customHeight="1" spans="1:7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</row>
    <row r="860" ht="15.75" customHeight="1" spans="1:7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</row>
    <row r="861" ht="15.75" customHeight="1" spans="1:7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</row>
    <row r="862" ht="15.75" customHeight="1" spans="1:7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</row>
    <row r="863" ht="15.75" customHeight="1" spans="1:7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</row>
    <row r="864" ht="15.75" customHeight="1" spans="1:7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</row>
    <row r="865" ht="15.75" customHeight="1" spans="1:7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</row>
    <row r="866" ht="15.75" customHeight="1" spans="1:7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</row>
    <row r="867" ht="15.75" customHeight="1" spans="1:7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</row>
    <row r="868" ht="15.75" customHeight="1" spans="1:7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</row>
    <row r="869" ht="15.75" customHeight="1" spans="1:7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</row>
    <row r="870" ht="15.75" customHeight="1" spans="1:7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</row>
    <row r="871" ht="15.75" customHeight="1" spans="1:7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</row>
    <row r="872" ht="15.75" customHeight="1" spans="1:7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</row>
    <row r="873" ht="15.75" customHeight="1" spans="1:7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</row>
    <row r="874" ht="15.75" customHeight="1" spans="1:7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</row>
    <row r="875" ht="15.75" customHeight="1" spans="1:7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</row>
    <row r="876" ht="15.75" customHeight="1" spans="1: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</row>
    <row r="877" ht="15.75" customHeight="1" spans="1:7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</row>
    <row r="878" ht="15.75" customHeight="1" spans="1:7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</row>
    <row r="879" ht="15.75" customHeight="1" spans="1:7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</row>
    <row r="880" ht="15.75" customHeight="1" spans="1:7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</row>
    <row r="881" ht="15.75" customHeight="1" spans="1:7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</row>
    <row r="882" ht="15.75" customHeight="1" spans="1:7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</row>
    <row r="883" ht="15.75" customHeight="1" spans="1:7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</row>
    <row r="884" ht="15.75" customHeight="1" spans="1:7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</row>
    <row r="885" ht="15.75" customHeight="1" spans="1:7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</row>
    <row r="886" ht="15.75" customHeight="1" spans="1:7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</row>
    <row r="887" ht="15.75" customHeight="1" spans="1:7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</row>
    <row r="888" ht="15.75" customHeight="1" spans="1:7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</row>
    <row r="889" ht="15.75" customHeight="1" spans="1:7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</row>
    <row r="890" ht="15.75" customHeight="1" spans="1:7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</row>
    <row r="891" ht="15.75" customHeight="1" spans="1:7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</row>
    <row r="892" ht="15.75" customHeight="1" spans="1:7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</row>
    <row r="893" ht="15.75" customHeight="1" spans="1:7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</row>
    <row r="894" ht="15.75" customHeight="1" spans="1:7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</row>
    <row r="895" ht="15.75" customHeight="1" spans="1:7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</row>
    <row r="896" ht="15.75" customHeight="1" spans="1:7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</row>
    <row r="897" ht="15.75" customHeight="1" spans="1:7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</row>
    <row r="898" ht="15.75" customHeight="1" spans="1:7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</row>
    <row r="899" ht="15.75" customHeight="1" spans="1:7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</row>
    <row r="900" ht="15.75" customHeight="1" spans="1:7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</row>
    <row r="901" ht="15.75" customHeight="1" spans="1:7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</row>
    <row r="902" ht="15.75" customHeight="1" spans="1:7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</row>
    <row r="903" ht="15.75" customHeight="1" spans="1:7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</row>
    <row r="904" ht="15.75" customHeight="1" spans="1:7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</row>
    <row r="905" ht="15.75" customHeight="1" spans="1:7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</row>
    <row r="906" ht="15.75" customHeight="1" spans="1:7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</row>
    <row r="907" ht="15.75" customHeight="1" spans="1:7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</row>
    <row r="908" ht="15.75" customHeight="1" spans="1:7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</row>
    <row r="909" ht="15.75" customHeight="1" spans="1:7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</row>
    <row r="910" ht="15.75" customHeight="1" spans="1:7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</row>
    <row r="911" ht="15.75" customHeight="1" spans="1:7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</row>
    <row r="912" ht="15.75" customHeight="1" spans="1:7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</row>
    <row r="913" ht="15.75" customHeight="1" spans="1:7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</row>
    <row r="914" ht="15.75" customHeight="1" spans="1:7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</row>
    <row r="915" ht="15.75" customHeight="1" spans="1:7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</row>
    <row r="916" ht="15.75" customHeight="1" spans="1:7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</row>
    <row r="917" ht="15.75" customHeight="1" spans="1:7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</row>
    <row r="918" ht="15.75" customHeight="1" spans="1:7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</row>
    <row r="919" ht="15.75" customHeight="1" spans="1:7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</row>
    <row r="920" ht="15.75" customHeight="1" spans="1:7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</row>
    <row r="921" ht="15.75" customHeight="1" spans="1:7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</row>
    <row r="922" ht="15.75" customHeight="1" spans="1:7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</row>
    <row r="923" ht="15.75" customHeight="1" spans="1:7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</row>
    <row r="924" ht="15.75" customHeight="1" spans="1:7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</row>
    <row r="925" ht="15.75" customHeight="1" spans="1:7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</row>
    <row r="926" ht="15.75" customHeight="1" spans="1:7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</row>
    <row r="927" ht="15.75" customHeight="1" spans="1:7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</row>
    <row r="928" ht="15.75" customHeight="1" spans="1:7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</row>
    <row r="929" ht="15.75" customHeight="1" spans="1:7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</row>
    <row r="930" ht="15.75" customHeight="1" spans="1:7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</row>
    <row r="931" ht="15.75" customHeight="1" spans="1:7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</row>
    <row r="932" ht="15.75" customHeight="1" spans="1:7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</row>
    <row r="933" ht="15.75" customHeight="1" spans="1:7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</row>
    <row r="934" ht="15.75" customHeight="1" spans="1:7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</row>
    <row r="935" ht="15.75" customHeight="1" spans="1:7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</row>
    <row r="936" ht="15.75" customHeight="1" spans="1:7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</row>
    <row r="937" ht="15.75" customHeight="1" spans="1:7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</row>
    <row r="938" ht="15.75" customHeight="1" spans="1:7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</row>
    <row r="939" ht="15.75" customHeight="1" spans="1:7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</row>
    <row r="940" ht="15.75" customHeight="1" spans="1:7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</row>
    <row r="941" ht="15.75" customHeight="1" spans="1:7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</row>
    <row r="942" ht="15.75" customHeight="1" spans="1:7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</row>
    <row r="943" ht="15.75" customHeight="1" spans="1:7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</row>
    <row r="944" ht="15.75" customHeight="1" spans="1:7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</row>
    <row r="945" ht="15.75" customHeight="1" spans="1:7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</row>
    <row r="946" ht="15.75" customHeight="1" spans="1:7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</row>
    <row r="947" ht="15.75" customHeight="1" spans="1:7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</row>
    <row r="948" ht="15.75" customHeight="1" spans="1:7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</row>
    <row r="949" ht="15.75" customHeight="1" spans="1:7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</row>
    <row r="950" ht="15.75" customHeight="1" spans="1:7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</row>
    <row r="951" ht="15.75" customHeight="1" spans="1:7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</row>
    <row r="952" ht="15.75" customHeight="1" spans="1:7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</row>
    <row r="953" ht="15.75" customHeight="1" spans="1:7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</row>
    <row r="954" ht="15.75" customHeight="1" spans="1:7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</row>
    <row r="955" ht="15.75" customHeight="1" spans="1:7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</row>
    <row r="956" ht="15.75" customHeight="1" spans="1:7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</row>
    <row r="957" ht="15.75" customHeight="1" spans="1:7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</row>
    <row r="958" ht="15.75" customHeight="1" spans="1:7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</row>
    <row r="959" ht="15.75" customHeight="1" spans="1:7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</row>
    <row r="960" ht="15.75" customHeight="1" spans="1:7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</row>
    <row r="961" ht="15.75" customHeight="1" spans="1:7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</row>
    <row r="962" ht="15.75" customHeight="1" spans="1:7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</row>
    <row r="963" ht="15.75" customHeight="1" spans="1:7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</row>
    <row r="964" ht="15.75" customHeight="1" spans="1:7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</row>
    <row r="965" ht="15.75" customHeight="1" spans="1:7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</row>
    <row r="966" ht="15.75" customHeight="1" spans="1:7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</row>
    <row r="967" ht="15.75" customHeight="1" spans="1:7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</row>
    <row r="968" ht="15.75" customHeight="1" spans="1:7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</row>
    <row r="969" ht="15.75" customHeight="1" spans="1:7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</row>
    <row r="970" ht="15.75" customHeight="1" spans="1:7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</row>
    <row r="971" ht="15.75" customHeight="1" spans="1:7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</row>
    <row r="972" ht="15.75" customHeight="1" spans="1:7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</row>
    <row r="973" ht="15.75" customHeight="1" spans="1:7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</row>
    <row r="974" ht="15.75" customHeight="1" spans="1:7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</row>
    <row r="975" ht="15.75" customHeight="1" spans="1:7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</row>
    <row r="976" ht="15.75" customHeight="1" spans="1: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</row>
    <row r="977" ht="15.75" customHeight="1" spans="1:7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</row>
    <row r="978" ht="15.75" customHeight="1" spans="1:7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</row>
    <row r="979" ht="15.75" customHeight="1" spans="1:7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</row>
    <row r="980" ht="15.75" customHeight="1" spans="1:7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</row>
    <row r="981" ht="15.75" customHeight="1" spans="1:7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</row>
    <row r="982" ht="15.75" customHeight="1" spans="1:7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</row>
    <row r="983" ht="15.75" customHeight="1" spans="1:7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</row>
    <row r="984" ht="15.75" customHeight="1" spans="1:7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</row>
    <row r="985" ht="15.75" customHeight="1" spans="1:7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</row>
    <row r="986" ht="15.75" customHeight="1" spans="1:7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</row>
    <row r="987" ht="15.75" customHeight="1" spans="1:7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</row>
    <row r="988" ht="15.75" customHeight="1" spans="1:7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</row>
    <row r="989" ht="15.75" customHeight="1" spans="1:7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</row>
    <row r="990" ht="15.75" customHeight="1" spans="1:7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</row>
    <row r="991" ht="15.75" customHeight="1" spans="1:7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</row>
    <row r="992" ht="15.75" customHeight="1" spans="1:7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</row>
    <row r="993" ht="15.75" customHeight="1" spans="1:7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</row>
    <row r="994" ht="15.75" customHeight="1" spans="1:7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</row>
    <row r="995" ht="15.75" customHeight="1" spans="1:7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</row>
    <row r="996" ht="15.75" customHeight="1" spans="1:7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</row>
    <row r="997" ht="15.75" customHeight="1" spans="1:7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</row>
    <row r="998" ht="15.75" customHeight="1" spans="1:7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</row>
    <row r="999" ht="15.75" customHeight="1" spans="1:7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</row>
    <row r="1000" ht="15.75" customHeight="1" spans="1:7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</row>
    <row r="1001" ht="15.75" customHeight="1" spans="1:7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</row>
  </sheetData>
  <mergeCells count="141">
    <mergeCell ref="A1:BR1"/>
    <mergeCell ref="B2:C2"/>
    <mergeCell ref="D2:I2"/>
    <mergeCell ref="D4:N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G21"/>
    <mergeCell ref="B22:M22"/>
    <mergeCell ref="D23:O23"/>
    <mergeCell ref="D24:O24"/>
    <mergeCell ref="D25:I25"/>
    <mergeCell ref="D26:I26"/>
    <mergeCell ref="K27:L27"/>
    <mergeCell ref="D28:N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E56:F56"/>
    <mergeCell ref="G56:I56"/>
    <mergeCell ref="B57:M57"/>
    <mergeCell ref="D58:N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K75:L75"/>
    <mergeCell ref="D76:N76"/>
    <mergeCell ref="D77:I77"/>
    <mergeCell ref="D78:N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B92:M92"/>
    <mergeCell ref="K93:L93"/>
    <mergeCell ref="D94:I94"/>
    <mergeCell ref="D95:I95"/>
    <mergeCell ref="BW95:BX95"/>
    <mergeCell ref="B96:M96"/>
    <mergeCell ref="A97:J97"/>
    <mergeCell ref="K97:L97"/>
    <mergeCell ref="A98:J98"/>
    <mergeCell ref="K98:L98"/>
    <mergeCell ref="A99:J99"/>
    <mergeCell ref="K99:L99"/>
    <mergeCell ref="A100:J100"/>
    <mergeCell ref="K100:L100"/>
    <mergeCell ref="A101:J101"/>
    <mergeCell ref="K101:L101"/>
    <mergeCell ref="A102:J102"/>
    <mergeCell ref="K102:M102"/>
    <mergeCell ref="A103:J103"/>
    <mergeCell ref="A104:J104"/>
    <mergeCell ref="A105:J105"/>
    <mergeCell ref="A106:F106"/>
    <mergeCell ref="K106:L106"/>
    <mergeCell ref="A107:F107"/>
    <mergeCell ref="K107:L107"/>
    <mergeCell ref="A108:F108"/>
    <mergeCell ref="K108:L108"/>
    <mergeCell ref="K109:L109"/>
    <mergeCell ref="O103:O105"/>
    <mergeCell ref="R103:R105"/>
    <mergeCell ref="U103:U105"/>
    <mergeCell ref="X103:X105"/>
    <mergeCell ref="AA103:AA105"/>
    <mergeCell ref="AD103:AD105"/>
    <mergeCell ref="AG103:AG105"/>
    <mergeCell ref="AJ103:AJ105"/>
    <mergeCell ref="AM103:AM105"/>
    <mergeCell ref="AP103:AP105"/>
    <mergeCell ref="AQ103:AQ105"/>
    <mergeCell ref="AT103:AT105"/>
    <mergeCell ref="AW103:AW105"/>
    <mergeCell ref="AZ103:AZ105"/>
    <mergeCell ref="BC103:BC105"/>
    <mergeCell ref="BF103:BF105"/>
    <mergeCell ref="BI103:BI105"/>
    <mergeCell ref="BL103:BL105"/>
    <mergeCell ref="BO103:BO105"/>
    <mergeCell ref="BR103:BR105"/>
    <mergeCell ref="K103:N105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Monitoring SPK</vt:lpstr>
      <vt:lpstr>Monitoring SPK </vt:lpstr>
      <vt:lpstr>FOR PIK</vt:lpstr>
      <vt:lpstr>Salinan dari Monitoring RAB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Arvian Riatmaja</cp:lastModifiedBy>
  <dcterms:created xsi:type="dcterms:W3CDTF">2025-11-20T02:22:00Z</dcterms:created>
  <dcterms:modified xsi:type="dcterms:W3CDTF">2026-09-14T04:28:15Z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2025-11-20T00:00:00Z</vt:filetime>
  </property>
  <property fmtid="{D5CDD505-2E9C-101B-9397-08002B2CF9AE}" pid="3" name="LastSaved">
    <vt:filetime>2025-11-20T00:00:00Z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F09BA2A61ADA4CA69268EE1498EF5D7F_13</vt:lpwstr>
  </property>
  <property fmtid="{D5CDD505-2E9C-101B-9397-08002B2CF9AE}" pid="6" name="KSOProductBuildVer">
    <vt:lpwstr>1033-12.1.0.28485</vt:lpwstr>
  </property>
  <property fmtid="{D5CDD505-2E9C-101B-9397-08002B2CF9AE}" pid="7" name="CalculationRule">
    <vt:i4>0</vt:i4>
  </property>
</Properties>
</file>